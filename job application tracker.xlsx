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dhan\Desktop\"/>
    </mc:Choice>
  </mc:AlternateContent>
  <xr:revisionPtr revIDLastSave="0" documentId="13_ncr:1_{07E7815E-653C-49F3-B1CE-E7E1CBC242E2}" xr6:coauthVersionLast="47" xr6:coauthVersionMax="47" xr10:uidLastSave="{00000000-0000-0000-0000-000000000000}"/>
  <bookViews>
    <workbookView xWindow="-108" yWindow="-108" windowWidth="23256" windowHeight="12456" xr2:uid="{E8404D7A-F116-45DF-A930-8B2032FE8CCA}"/>
  </bookViews>
  <sheets>
    <sheet name="Dashboard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4" i="1" l="1"/>
  <c r="R4" i="1"/>
  <c r="P4" i="1"/>
  <c r="N4" i="1"/>
  <c r="I8" i="1"/>
  <c r="I7" i="1"/>
  <c r="I6" i="1"/>
  <c r="I5" i="1"/>
</calcChain>
</file>

<file path=xl/sharedStrings.xml><?xml version="1.0" encoding="utf-8"?>
<sst xmlns="http://schemas.openxmlformats.org/spreadsheetml/2006/main" count="106" uniqueCount="31">
  <si>
    <t>Job Application Tracker</t>
  </si>
  <si>
    <t>Company</t>
  </si>
  <si>
    <t>Role</t>
  </si>
  <si>
    <t>Date</t>
  </si>
  <si>
    <t>Status</t>
  </si>
  <si>
    <t>Location</t>
  </si>
  <si>
    <t>chennai</t>
  </si>
  <si>
    <t>hyderabad</t>
  </si>
  <si>
    <t>bangalore</t>
  </si>
  <si>
    <t>Applied</t>
  </si>
  <si>
    <t>Interview</t>
  </si>
  <si>
    <t>Rejected</t>
  </si>
  <si>
    <t>selected</t>
  </si>
  <si>
    <t>Tcs</t>
  </si>
  <si>
    <t>Amazon</t>
  </si>
  <si>
    <t>cognizant</t>
  </si>
  <si>
    <t>Deloitte</t>
  </si>
  <si>
    <t>Wipro</t>
  </si>
  <si>
    <t>Accenture</t>
  </si>
  <si>
    <t>Faang</t>
  </si>
  <si>
    <t>Apple</t>
  </si>
  <si>
    <t>Flipkart</t>
  </si>
  <si>
    <t>Data Analyst</t>
  </si>
  <si>
    <t>Software Engineer</t>
  </si>
  <si>
    <t>Analyst</t>
  </si>
  <si>
    <t>Front End Developer</t>
  </si>
  <si>
    <t>Full Stack Developer</t>
  </si>
  <si>
    <t>1.apply data validation for status</t>
  </si>
  <si>
    <t>Count</t>
  </si>
  <si>
    <t>Selected</t>
  </si>
  <si>
    <t>Dashboard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</si>
</sst>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2DCE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A8EBA3"/>
        <bgColor indexed="64"/>
      </patternFill>
    </fill>
    <fill>
      <patternFill patternType="solid">
        <fgColor rgb="FFEEBCD3"/>
        <bgColor indexed="64"/>
      </patternFill>
    </fill>
    <fill>
      <patternFill patternType="solid">
        <fgColor theme="8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3" borderId="1" xfId="0" applyFont="1" applyFill="1" applyBorder="1"/>
    <xf numFmtId="14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1" xfId="0" applyFont="1" applyFill="1" applyBorder="1"/>
    <xf numFmtId="0" fontId="3" fillId="2" borderId="1" xfId="0" applyFont="1" applyFill="1" applyBorder="1"/>
    <xf numFmtId="0" fontId="0" fillId="0" borderId="0" xfId="0" applyAlignment="1"/>
    <xf numFmtId="0" fontId="5" fillId="4" borderId="3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wrapText="1"/>
    </xf>
    <xf numFmtId="0" fontId="5" fillId="4" borderId="5" xfId="0" applyFont="1" applyFill="1" applyBorder="1" applyAlignment="1">
      <alignment horizontal="center" wrapText="1"/>
    </xf>
    <xf numFmtId="0" fontId="5" fillId="5" borderId="3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wrapText="1"/>
    </xf>
    <xf numFmtId="0" fontId="5" fillId="5" borderId="5" xfId="0" applyFont="1" applyFill="1" applyBorder="1" applyAlignment="1">
      <alignment horizontal="center" wrapText="1"/>
    </xf>
    <xf numFmtId="0" fontId="5" fillId="6" borderId="3" xfId="0" applyFont="1" applyFill="1" applyBorder="1" applyAlignment="1">
      <alignment horizontal="center" wrapText="1"/>
    </xf>
    <xf numFmtId="0" fontId="5" fillId="6" borderId="4" xfId="0" applyFont="1" applyFill="1" applyBorder="1" applyAlignment="1">
      <alignment horizontal="center" wrapText="1"/>
    </xf>
    <xf numFmtId="0" fontId="5" fillId="6" borderId="5" xfId="0" applyFont="1" applyFill="1" applyBorder="1" applyAlignment="1">
      <alignment horizontal="center" wrapText="1"/>
    </xf>
    <xf numFmtId="0" fontId="5" fillId="7" borderId="3" xfId="0" applyFont="1" applyFill="1" applyBorder="1" applyAlignment="1">
      <alignment horizontal="center" wrapText="1"/>
    </xf>
    <xf numFmtId="0" fontId="5" fillId="7" borderId="4" xfId="0" applyFont="1" applyFill="1" applyBorder="1" applyAlignment="1">
      <alignment horizontal="center" wrapText="1"/>
    </xf>
    <xf numFmtId="0" fontId="5" fillId="7" borderId="5" xfId="0" applyFont="1" applyFill="1" applyBorder="1" applyAlignment="1">
      <alignment horizontal="center" wrapText="1"/>
    </xf>
    <xf numFmtId="0" fontId="5" fillId="0" borderId="2" xfId="0" applyFont="1" applyBorder="1" applyAlignment="1">
      <alignment horizontal="center"/>
    </xf>
    <xf numFmtId="0" fontId="1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EBCD3"/>
      <color rgb="FFA8EBA3"/>
      <color rgb="FF79E171"/>
      <color rgb="FF72DCE4"/>
      <color rgb="FF60DB57"/>
      <color rgb="FFD96599"/>
      <color rgb="FFF093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Application</a:t>
            </a:r>
            <a:r>
              <a:rPr lang="en-US" b="1" baseline="0"/>
              <a:t> Status Overview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370998287386508"/>
          <c:y val="0.16128905832472296"/>
          <c:w val="0.66364085739282597"/>
          <c:h val="0.6560728346456692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Dashboard!$I$4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172-4F99-B736-294D9B67259E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172-4F99-B736-294D9B67259E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172-4F99-B736-294D9B67259E}"/>
              </c:ext>
            </c:extLst>
          </c:dPt>
          <c:cat>
            <c:strRef>
              <c:f>Dashboard!$H$5:$H$8</c:f>
              <c:strCache>
                <c:ptCount val="4"/>
                <c:pt idx="0">
                  <c:v>Applied</c:v>
                </c:pt>
                <c:pt idx="1">
                  <c:v>Interview</c:v>
                </c:pt>
                <c:pt idx="2">
                  <c:v>Selected</c:v>
                </c:pt>
                <c:pt idx="3">
                  <c:v>Rejected</c:v>
                </c:pt>
              </c:strCache>
            </c:strRef>
          </c:cat>
          <c:val>
            <c:numRef>
              <c:f>Dashboard!$I$5:$I$8</c:f>
              <c:numCache>
                <c:formatCode>General</c:formatCode>
                <c:ptCount val="4"/>
                <c:pt idx="0">
                  <c:v>6</c:v>
                </c:pt>
                <c:pt idx="1">
                  <c:v>5</c:v>
                </c:pt>
                <c:pt idx="2">
                  <c:v>3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72-4F99-B736-294D9B672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7385760"/>
        <c:axId val="417387424"/>
      </c:barChart>
      <c:catAx>
        <c:axId val="417385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387424"/>
        <c:crosses val="autoZero"/>
        <c:auto val="1"/>
        <c:lblAlgn val="ctr"/>
        <c:lblOffset val="100"/>
        <c:noMultiLvlLbl val="0"/>
      </c:catAx>
      <c:valAx>
        <c:axId val="41738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385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315686</xdr:colOff>
      <xdr:row>8</xdr:row>
      <xdr:rowOff>117566</xdr:rowOff>
    </xdr:from>
    <xdr:to>
      <xdr:col>14</xdr:col>
      <xdr:colOff>685800</xdr:colOff>
      <xdr:row>22</xdr:row>
      <xdr:rowOff>52796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C70647-D6FA-480E-802C-27FF4B8397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11949-D319-43CC-BD94-E7124D14C7E8}">
  <dimension ref="A1:T25"/>
  <sheetViews>
    <sheetView tabSelected="1" zoomScale="70" workbookViewId="0">
      <selection activeCell="G37" sqref="G37"/>
    </sheetView>
  </sheetViews>
  <sheetFormatPr defaultRowHeight="14.4" x14ac:dyDescent="0.3"/>
  <cols>
    <col min="1" max="1" width="12.109375" customWidth="1"/>
    <col min="2" max="2" width="19.5546875" customWidth="1"/>
    <col min="3" max="3" width="10.88671875" customWidth="1"/>
    <col min="4" max="4" width="13.6640625" customWidth="1"/>
    <col min="5" max="5" width="14.33203125" customWidth="1"/>
    <col min="8" max="8" width="17.6640625" customWidth="1"/>
    <col min="9" max="9" width="10.44140625" customWidth="1"/>
    <col min="13" max="13" width="12.21875" customWidth="1"/>
    <col min="14" max="20" width="15.77734375" customWidth="1"/>
  </cols>
  <sheetData>
    <row r="1" spans="1:20" ht="18" x14ac:dyDescent="0.35">
      <c r="E1" s="6" t="s">
        <v>0</v>
      </c>
      <c r="F1" s="6"/>
      <c r="G1" s="6"/>
      <c r="H1" s="6"/>
      <c r="I1" s="6"/>
      <c r="J1" s="6"/>
      <c r="K1" s="6"/>
      <c r="L1" s="6"/>
      <c r="M1" s="6"/>
      <c r="N1" s="6"/>
      <c r="O1" s="6"/>
      <c r="T1" s="9"/>
    </row>
    <row r="2" spans="1:20" x14ac:dyDescent="0.3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</row>
    <row r="3" spans="1:20" ht="18" x14ac:dyDescent="0.35">
      <c r="A3" s="3" t="s">
        <v>13</v>
      </c>
      <c r="B3" s="2" t="s">
        <v>22</v>
      </c>
      <c r="C3" s="4">
        <v>46082</v>
      </c>
      <c r="D3" s="2" t="s">
        <v>11</v>
      </c>
      <c r="E3" s="2" t="s">
        <v>6</v>
      </c>
      <c r="O3" s="22"/>
      <c r="P3" s="23" t="s">
        <v>30</v>
      </c>
      <c r="Q3" s="23"/>
    </row>
    <row r="4" spans="1:20" ht="18" customHeight="1" x14ac:dyDescent="0.3">
      <c r="A4" s="3" t="s">
        <v>14</v>
      </c>
      <c r="B4" s="2" t="s">
        <v>23</v>
      </c>
      <c r="C4" s="4">
        <v>46083</v>
      </c>
      <c r="D4" s="2" t="s">
        <v>10</v>
      </c>
      <c r="E4" s="2" t="s">
        <v>7</v>
      </c>
      <c r="H4" s="8" t="s">
        <v>4</v>
      </c>
      <c r="I4" s="8" t="s">
        <v>28</v>
      </c>
      <c r="N4" s="13" t="str">
        <f>"Applied"&amp;CHAR(10)&amp;COUNTIF(D3:D25,"Applied")</f>
        <v>Applied
6</v>
      </c>
      <c r="P4" s="16" t="str">
        <f>"Interview"&amp;CHAR(10)&amp;COUNTIF(D3:D25,"Interview")</f>
        <v>Interview
5</v>
      </c>
      <c r="R4" s="10" t="str">
        <f>"Selected"&amp;CHAR(10)&amp;COUNTIF(D3:D25,"selected")</f>
        <v>Selected
3</v>
      </c>
      <c r="T4" s="19" t="str">
        <f>"Rejected"&amp;CHAR(10)&amp;COUNTIF(D3:D25,"Rejected")</f>
        <v>Rejected
9</v>
      </c>
    </row>
    <row r="5" spans="1:20" ht="18" customHeight="1" x14ac:dyDescent="0.3">
      <c r="A5" s="3" t="s">
        <v>15</v>
      </c>
      <c r="B5" s="2" t="s">
        <v>24</v>
      </c>
      <c r="C5" s="4">
        <v>46084</v>
      </c>
      <c r="D5" s="2" t="s">
        <v>11</v>
      </c>
      <c r="E5" s="2" t="s">
        <v>8</v>
      </c>
      <c r="H5" s="2" t="s">
        <v>9</v>
      </c>
      <c r="I5" s="2">
        <f>COUNTIF(D3:D25,"Applied")</f>
        <v>6</v>
      </c>
      <c r="N5" s="14"/>
      <c r="P5" s="17"/>
      <c r="R5" s="11"/>
      <c r="T5" s="20"/>
    </row>
    <row r="6" spans="1:20" ht="18" customHeight="1" x14ac:dyDescent="0.3">
      <c r="A6" s="3" t="s">
        <v>16</v>
      </c>
      <c r="B6" s="2" t="s">
        <v>25</v>
      </c>
      <c r="C6" s="4">
        <v>46085</v>
      </c>
      <c r="D6" s="2" t="s">
        <v>11</v>
      </c>
      <c r="E6" s="2" t="s">
        <v>8</v>
      </c>
      <c r="H6" s="2" t="s">
        <v>10</v>
      </c>
      <c r="I6" s="2">
        <f>COUNTIF(D3:D25,"Interview")</f>
        <v>5</v>
      </c>
      <c r="N6" s="15"/>
      <c r="P6" s="18"/>
      <c r="R6" s="12"/>
      <c r="T6" s="21"/>
    </row>
    <row r="7" spans="1:20" x14ac:dyDescent="0.3">
      <c r="A7" s="3" t="s">
        <v>17</v>
      </c>
      <c r="B7" s="2" t="s">
        <v>24</v>
      </c>
      <c r="C7" s="4">
        <v>46086</v>
      </c>
      <c r="D7" s="2" t="s">
        <v>11</v>
      </c>
      <c r="E7" s="2" t="s">
        <v>8</v>
      </c>
      <c r="H7" s="2" t="s">
        <v>29</v>
      </c>
      <c r="I7" s="2">
        <f>COUNTIF(D3:D25,"selected")</f>
        <v>3</v>
      </c>
      <c r="P7" s="9"/>
    </row>
    <row r="8" spans="1:20" x14ac:dyDescent="0.3">
      <c r="A8" s="3" t="s">
        <v>13</v>
      </c>
      <c r="B8" s="2" t="s">
        <v>22</v>
      </c>
      <c r="C8" s="5">
        <v>46093</v>
      </c>
      <c r="D8" s="2" t="s">
        <v>9</v>
      </c>
      <c r="E8" s="2" t="s">
        <v>8</v>
      </c>
      <c r="H8" s="2" t="s">
        <v>11</v>
      </c>
      <c r="I8" s="2">
        <f>COUNTIF(D3:D25,"Rejected")</f>
        <v>9</v>
      </c>
    </row>
    <row r="9" spans="1:20" x14ac:dyDescent="0.3">
      <c r="A9" s="3" t="s">
        <v>18</v>
      </c>
      <c r="B9" s="2" t="s">
        <v>26</v>
      </c>
      <c r="C9" s="4">
        <v>46094</v>
      </c>
      <c r="D9" s="2" t="s">
        <v>9</v>
      </c>
      <c r="E9" s="2" t="s">
        <v>8</v>
      </c>
    </row>
    <row r="10" spans="1:20" x14ac:dyDescent="0.3">
      <c r="A10" s="3" t="s">
        <v>15</v>
      </c>
      <c r="B10" s="2" t="s">
        <v>25</v>
      </c>
      <c r="C10" s="4">
        <v>46096</v>
      </c>
      <c r="D10" s="2" t="s">
        <v>12</v>
      </c>
      <c r="E10" s="2" t="s">
        <v>6</v>
      </c>
    </row>
    <row r="11" spans="1:20" x14ac:dyDescent="0.3">
      <c r="A11" s="3" t="s">
        <v>16</v>
      </c>
      <c r="B11" s="2" t="s">
        <v>23</v>
      </c>
      <c r="C11" s="4">
        <v>46097</v>
      </c>
      <c r="D11" s="2" t="s">
        <v>12</v>
      </c>
      <c r="E11" s="2" t="s">
        <v>7</v>
      </c>
    </row>
    <row r="12" spans="1:20" x14ac:dyDescent="0.3">
      <c r="A12" s="3" t="s">
        <v>17</v>
      </c>
      <c r="B12" s="2" t="s">
        <v>23</v>
      </c>
      <c r="C12" s="4">
        <v>46098</v>
      </c>
      <c r="D12" s="2" t="s">
        <v>9</v>
      </c>
      <c r="E12" s="2" t="s">
        <v>6</v>
      </c>
    </row>
    <row r="13" spans="1:20" x14ac:dyDescent="0.3">
      <c r="A13" s="3" t="s">
        <v>17</v>
      </c>
      <c r="B13" s="2" t="s">
        <v>24</v>
      </c>
      <c r="C13" s="4">
        <v>46099</v>
      </c>
      <c r="D13" s="2" t="s">
        <v>11</v>
      </c>
      <c r="E13" s="2" t="s">
        <v>7</v>
      </c>
    </row>
    <row r="14" spans="1:20" x14ac:dyDescent="0.3">
      <c r="A14" s="3" t="s">
        <v>13</v>
      </c>
      <c r="B14" s="2" t="s">
        <v>22</v>
      </c>
      <c r="C14" s="4">
        <v>46100</v>
      </c>
      <c r="D14" s="2" t="s">
        <v>11</v>
      </c>
      <c r="E14" s="2" t="s">
        <v>8</v>
      </c>
    </row>
    <row r="15" spans="1:20" ht="14.4" customHeight="1" x14ac:dyDescent="0.3">
      <c r="A15" s="3" t="s">
        <v>14</v>
      </c>
      <c r="B15" s="2" t="s">
        <v>23</v>
      </c>
      <c r="C15" s="4">
        <v>46101</v>
      </c>
      <c r="D15" s="2" t="s">
        <v>12</v>
      </c>
      <c r="E15" s="2" t="s">
        <v>6</v>
      </c>
    </row>
    <row r="16" spans="1:20" ht="14.4" customHeight="1" x14ac:dyDescent="0.3">
      <c r="A16" s="3" t="s">
        <v>16</v>
      </c>
      <c r="B16" s="2" t="s">
        <v>25</v>
      </c>
      <c r="C16" s="4">
        <v>46102</v>
      </c>
      <c r="D16" s="2" t="s">
        <v>10</v>
      </c>
      <c r="E16" s="2" t="s">
        <v>6</v>
      </c>
    </row>
    <row r="17" spans="1:5" ht="14.4" customHeight="1" x14ac:dyDescent="0.3">
      <c r="A17" s="3" t="s">
        <v>16</v>
      </c>
      <c r="B17" s="2" t="s">
        <v>26</v>
      </c>
      <c r="C17" s="4">
        <v>46103</v>
      </c>
      <c r="D17" s="2" t="s">
        <v>10</v>
      </c>
      <c r="E17" s="2" t="s">
        <v>8</v>
      </c>
    </row>
    <row r="18" spans="1:5" x14ac:dyDescent="0.3">
      <c r="A18" s="3" t="s">
        <v>19</v>
      </c>
      <c r="B18" s="2" t="s">
        <v>26</v>
      </c>
      <c r="C18" s="4">
        <v>46104</v>
      </c>
      <c r="D18" s="2" t="s">
        <v>11</v>
      </c>
      <c r="E18" s="2" t="s">
        <v>7</v>
      </c>
    </row>
    <row r="19" spans="1:5" x14ac:dyDescent="0.3">
      <c r="A19" s="3" t="s">
        <v>18</v>
      </c>
      <c r="B19" s="2" t="s">
        <v>26</v>
      </c>
      <c r="C19" s="4">
        <v>46105</v>
      </c>
      <c r="D19" s="2" t="s">
        <v>11</v>
      </c>
      <c r="E19" s="2" t="s">
        <v>6</v>
      </c>
    </row>
    <row r="20" spans="1:5" x14ac:dyDescent="0.3">
      <c r="A20" s="3" t="s">
        <v>18</v>
      </c>
      <c r="B20" s="2" t="s">
        <v>22</v>
      </c>
      <c r="C20" s="4">
        <v>46106</v>
      </c>
      <c r="D20" s="2" t="s">
        <v>9</v>
      </c>
      <c r="E20" s="2" t="s">
        <v>7</v>
      </c>
    </row>
    <row r="21" spans="1:5" x14ac:dyDescent="0.3">
      <c r="A21" s="3" t="s">
        <v>15</v>
      </c>
      <c r="B21" s="2" t="s">
        <v>22</v>
      </c>
      <c r="C21" s="4">
        <v>46107</v>
      </c>
      <c r="D21" s="2" t="s">
        <v>10</v>
      </c>
      <c r="E21" s="2" t="s">
        <v>8</v>
      </c>
    </row>
    <row r="22" spans="1:5" x14ac:dyDescent="0.3">
      <c r="A22" s="3" t="s">
        <v>13</v>
      </c>
      <c r="B22" s="2" t="s">
        <v>23</v>
      </c>
      <c r="C22" s="4">
        <v>46108</v>
      </c>
      <c r="D22" s="2" t="s">
        <v>11</v>
      </c>
      <c r="E22" s="2" t="s">
        <v>7</v>
      </c>
    </row>
    <row r="23" spans="1:5" x14ac:dyDescent="0.3">
      <c r="A23" s="3" t="s">
        <v>20</v>
      </c>
      <c r="B23" s="2" t="s">
        <v>25</v>
      </c>
      <c r="C23" s="4">
        <v>46109</v>
      </c>
      <c r="D23" s="2" t="s">
        <v>9</v>
      </c>
      <c r="E23" s="2" t="s">
        <v>8</v>
      </c>
    </row>
    <row r="24" spans="1:5" x14ac:dyDescent="0.3">
      <c r="A24" s="3" t="s">
        <v>21</v>
      </c>
      <c r="B24" s="2" t="s">
        <v>25</v>
      </c>
      <c r="C24" s="4">
        <v>46110</v>
      </c>
      <c r="D24" s="2" t="s">
        <v>10</v>
      </c>
      <c r="E24" s="2" t="s">
        <v>7</v>
      </c>
    </row>
    <row r="25" spans="1:5" x14ac:dyDescent="0.3">
      <c r="A25" s="3" t="s">
        <v>13</v>
      </c>
      <c r="B25" s="2" t="s">
        <v>22</v>
      </c>
      <c r="C25" s="4">
        <v>46111</v>
      </c>
      <c r="D25" s="2" t="s">
        <v>9</v>
      </c>
      <c r="E25" s="2" t="s">
        <v>6</v>
      </c>
    </row>
  </sheetData>
  <mergeCells count="6">
    <mergeCell ref="T4:T6"/>
    <mergeCell ref="E1:O1"/>
    <mergeCell ref="N4:N6"/>
    <mergeCell ref="P4:P6"/>
    <mergeCell ref="R4:R6"/>
    <mergeCell ref="P3:Q3"/>
  </mergeCells>
  <phoneticPr fontId="4" type="noConversion"/>
  <dataValidations count="1">
    <dataValidation type="list" errorStyle="warning" allowBlank="1" showInputMessage="1" showErrorMessage="1" error="Choose any of these" sqref="D3:D25" xr:uid="{50601BB3-A717-4BBB-A5DA-3D0950E6DACC}">
      <formula1>"Applied,Interview,Rejected,selected"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B5B13-A5A3-4AE3-9854-E90CAAB98C27}">
  <dimension ref="A2:F6"/>
  <sheetViews>
    <sheetView workbookViewId="0">
      <selection activeCell="A3" sqref="A3"/>
    </sheetView>
  </sheetViews>
  <sheetFormatPr defaultRowHeight="14.4" x14ac:dyDescent="0.3"/>
  <cols>
    <col min="1" max="1" width="52.21875" customWidth="1"/>
  </cols>
  <sheetData>
    <row r="2" spans="1:6" x14ac:dyDescent="0.3">
      <c r="A2" t="s">
        <v>27</v>
      </c>
    </row>
    <row r="6" spans="1:6" x14ac:dyDescent="0.3">
      <c r="F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 C</dc:creator>
  <cp:lastModifiedBy>Dhanush C</cp:lastModifiedBy>
  <dcterms:created xsi:type="dcterms:W3CDTF">2026-03-19T11:10:08Z</dcterms:created>
  <dcterms:modified xsi:type="dcterms:W3CDTF">2026-03-19T13:26:13Z</dcterms:modified>
</cp:coreProperties>
</file>