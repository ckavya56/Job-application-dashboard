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427" documentId="11_E60897F41BE170836B02CE998F75CCDC64E183C8" xr6:coauthVersionLast="47" xr6:coauthVersionMax="47" xr10:uidLastSave="{62F5372D-69A2-47EB-9D99-5B5FCCD96ED5}"/>
  <bookViews>
    <workbookView xWindow="240" yWindow="105" windowWidth="14805" windowHeight="8010" firstSheet="10" activeTab="10" xr2:uid="{00000000-000D-0000-FFFF-FFFF00000000}"/>
  </bookViews>
  <sheets>
    <sheet name="Status" sheetId="4" r:id="rId1"/>
    <sheet name="Company" sheetId="5" r:id="rId2"/>
    <sheet name="Role" sheetId="6" r:id="rId3"/>
    <sheet name="Location" sheetId="7" r:id="rId4"/>
    <sheet name="Source" sheetId="8" r:id="rId5"/>
    <sheet name="Average Salary by Role" sheetId="9" r:id="rId6"/>
    <sheet name="Applications over time" sheetId="10" r:id="rId7"/>
    <sheet name="Applications by Work Mode" sheetId="11" r:id="rId8"/>
    <sheet name="Applications" sheetId="1" r:id="rId9"/>
    <sheet name="Company_Master" sheetId="2" r:id="rId10"/>
    <sheet name="Analysis" sheetId="3" r:id="rId11"/>
  </sheets>
  <calcPr calcId="191028"/>
  <pivotCaches>
    <pivotCache cacheId="46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2" i="1"/>
  <c r="U13" i="3"/>
  <c r="U12" i="3"/>
  <c r="U11" i="3"/>
  <c r="B8" i="3"/>
  <c r="B7" i="3"/>
  <c r="B6" i="3"/>
  <c r="B5" i="3"/>
  <c r="B3" i="3"/>
  <c r="B4" i="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U16" i="3" l="1"/>
  <c r="U14" i="3"/>
  <c r="U15" i="3"/>
</calcChain>
</file>

<file path=xl/sharedStrings.xml><?xml version="1.0" encoding="utf-8"?>
<sst xmlns="http://schemas.openxmlformats.org/spreadsheetml/2006/main" count="2193" uniqueCount="314">
  <si>
    <t>Status</t>
  </si>
  <si>
    <t>Count of Application_ID</t>
  </si>
  <si>
    <t>Applied</t>
  </si>
  <si>
    <t>Interview</t>
  </si>
  <si>
    <t>Offer</t>
  </si>
  <si>
    <t>Rejected</t>
  </si>
  <si>
    <t>Shortlisted</t>
  </si>
  <si>
    <t>Grand Total</t>
  </si>
  <si>
    <t>Company</t>
  </si>
  <si>
    <t>TCS</t>
  </si>
  <si>
    <t>Accenture</t>
  </si>
  <si>
    <t>Fiserv</t>
  </si>
  <si>
    <t>Deloitte</t>
  </si>
  <si>
    <t>Microsoft</t>
  </si>
  <si>
    <t>Cognizant</t>
  </si>
  <si>
    <t>Amazon</t>
  </si>
  <si>
    <t>Oracle</t>
  </si>
  <si>
    <t>Wipro</t>
  </si>
  <si>
    <t>Zoho</t>
  </si>
  <si>
    <t>HCL</t>
  </si>
  <si>
    <t>Infosys</t>
  </si>
  <si>
    <t>IBM</t>
  </si>
  <si>
    <t>Capgemini</t>
  </si>
  <si>
    <t>Visa</t>
  </si>
  <si>
    <t>Wells Fargo</t>
  </si>
  <si>
    <t>Mastercard</t>
  </si>
  <si>
    <t>PayPal</t>
  </si>
  <si>
    <t>Citi</t>
  </si>
  <si>
    <t>JPMorgan</t>
  </si>
  <si>
    <t>(blank)</t>
  </si>
  <si>
    <t>Role</t>
  </si>
  <si>
    <t>Data Analyst</t>
  </si>
  <si>
    <t>Python Developer</t>
  </si>
  <si>
    <t>Software Engineer</t>
  </si>
  <si>
    <t>Technology Analyst</t>
  </si>
  <si>
    <t>Business Analyst</t>
  </si>
  <si>
    <t>SQL Developer</t>
  </si>
  <si>
    <t>QA Engineer</t>
  </si>
  <si>
    <t>Automation Tester</t>
  </si>
  <si>
    <t>Associate Analyst</t>
  </si>
  <si>
    <t>Support Engineer</t>
  </si>
  <si>
    <t>Location</t>
  </si>
  <si>
    <t>Hyderabad</t>
  </si>
  <si>
    <t>Bangalore</t>
  </si>
  <si>
    <t>Chennai</t>
  </si>
  <si>
    <t>Pune</t>
  </si>
  <si>
    <t>Delhi</t>
  </si>
  <si>
    <t>Mumbai</t>
  </si>
  <si>
    <t>Noida</t>
  </si>
  <si>
    <t>Source</t>
  </si>
  <si>
    <t>LinkedIn</t>
  </si>
  <si>
    <t>Naukri</t>
  </si>
  <si>
    <t>Referral</t>
  </si>
  <si>
    <t>Direct</t>
  </si>
  <si>
    <t>Company Website</t>
  </si>
  <si>
    <t>Average of Salary</t>
  </si>
  <si>
    <t>Month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</si>
  <si>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</si>
  <si>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</si>
  <si>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</si>
  <si>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</si>
  <si>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</si>
  <si>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</si>
  <si>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</si>
  <si>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</si>
  <si>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</si>
  <si>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Work_Mode</t>
  </si>
  <si>
    <t>Hybrid</t>
  </si>
  <si>
    <t>Onsite</t>
  </si>
  <si>
    <t>Remote</t>
  </si>
  <si>
    <t>Application_ID</t>
  </si>
  <si>
    <t>Salary</t>
  </si>
  <si>
    <t>Applied_Date</t>
  </si>
  <si>
    <t>Experience</t>
  </si>
  <si>
    <t>Degree</t>
  </si>
  <si>
    <t>Job_Type</t>
  </si>
  <si>
    <t>Industry</t>
  </si>
  <si>
    <t>Company_Size</t>
  </si>
  <si>
    <t>APP001</t>
  </si>
  <si>
    <t>Fresher</t>
  </si>
  <si>
    <t>B.Tech</t>
  </si>
  <si>
    <t>Full Time</t>
  </si>
  <si>
    <t>APP002</t>
  </si>
  <si>
    <t>0-1 Years</t>
  </si>
  <si>
    <t>BCA</t>
  </si>
  <si>
    <t>APP003</t>
  </si>
  <si>
    <t>1-2 Years</t>
  </si>
  <si>
    <t>B.Sc</t>
  </si>
  <si>
    <t>APP004</t>
  </si>
  <si>
    <t>APP005</t>
  </si>
  <si>
    <t>APP006</t>
  </si>
  <si>
    <t>APP007</t>
  </si>
  <si>
    <t>APP008</t>
  </si>
  <si>
    <t>APP009</t>
  </si>
  <si>
    <t>MCA</t>
  </si>
  <si>
    <t>APP010</t>
  </si>
  <si>
    <t>APP011</t>
  </si>
  <si>
    <t>APP012</t>
  </si>
  <si>
    <t>APP013</t>
  </si>
  <si>
    <t>APP014</t>
  </si>
  <si>
    <t>APP015</t>
  </si>
  <si>
    <t>APP016</t>
  </si>
  <si>
    <t>APP017</t>
  </si>
  <si>
    <t>APP018</t>
  </si>
  <si>
    <t>APP019</t>
  </si>
  <si>
    <t>APP020</t>
  </si>
  <si>
    <t>APP021</t>
  </si>
  <si>
    <t>APP022</t>
  </si>
  <si>
    <t>APP023</t>
  </si>
  <si>
    <t>APP024</t>
  </si>
  <si>
    <t>APP025</t>
  </si>
  <si>
    <t>APP026</t>
  </si>
  <si>
    <t>APP027</t>
  </si>
  <si>
    <t>APP028</t>
  </si>
  <si>
    <t>APP029</t>
  </si>
  <si>
    <t>APP030</t>
  </si>
  <si>
    <t>APP031</t>
  </si>
  <si>
    <t>APP032</t>
  </si>
  <si>
    <t>APP033</t>
  </si>
  <si>
    <t>APP034</t>
  </si>
  <si>
    <t>APP035</t>
  </si>
  <si>
    <t>APP036</t>
  </si>
  <si>
    <t>APP037</t>
  </si>
  <si>
    <t>APP038</t>
  </si>
  <si>
    <t>APP039</t>
  </si>
  <si>
    <t>APP040</t>
  </si>
  <si>
    <t>APP041</t>
  </si>
  <si>
    <t>APP042</t>
  </si>
  <si>
    <t>APP043</t>
  </si>
  <si>
    <t>APP044</t>
  </si>
  <si>
    <t>APP045</t>
  </si>
  <si>
    <t>APP046</t>
  </si>
  <si>
    <t>APP047</t>
  </si>
  <si>
    <t>APP048</t>
  </si>
  <si>
    <t>APP049</t>
  </si>
  <si>
    <t>APP050</t>
  </si>
  <si>
    <t>APP051</t>
  </si>
  <si>
    <t>APP052</t>
  </si>
  <si>
    <t>APP053</t>
  </si>
  <si>
    <t>APP054</t>
  </si>
  <si>
    <t>APP055</t>
  </si>
  <si>
    <t>APP056</t>
  </si>
  <si>
    <t>APP057</t>
  </si>
  <si>
    <t>APP058</t>
  </si>
  <si>
    <t>APP059</t>
  </si>
  <si>
    <t>APP060</t>
  </si>
  <si>
    <t>APP061</t>
  </si>
  <si>
    <t>APP062</t>
  </si>
  <si>
    <t>APP063</t>
  </si>
  <si>
    <t>APP064</t>
  </si>
  <si>
    <t>APP065</t>
  </si>
  <si>
    <t>APP066</t>
  </si>
  <si>
    <t>APP067</t>
  </si>
  <si>
    <t>APP068</t>
  </si>
  <si>
    <t>APP069</t>
  </si>
  <si>
    <t>APP070</t>
  </si>
  <si>
    <t>APP071</t>
  </si>
  <si>
    <t>APP072</t>
  </si>
  <si>
    <t>APP073</t>
  </si>
  <si>
    <t>APP074</t>
  </si>
  <si>
    <t>APP075</t>
  </si>
  <si>
    <t>APP076</t>
  </si>
  <si>
    <t>APP077</t>
  </si>
  <si>
    <t>APP078</t>
  </si>
  <si>
    <t>APP079</t>
  </si>
  <si>
    <t>APP080</t>
  </si>
  <si>
    <t>APP081</t>
  </si>
  <si>
    <t>APP082</t>
  </si>
  <si>
    <t>APP083</t>
  </si>
  <si>
    <t>APP084</t>
  </si>
  <si>
    <t>APP085</t>
  </si>
  <si>
    <t>APP086</t>
  </si>
  <si>
    <t>APP087</t>
  </si>
  <si>
    <t>APP088</t>
  </si>
  <si>
    <t>APP089</t>
  </si>
  <si>
    <t>APP090</t>
  </si>
  <si>
    <t>APP091</t>
  </si>
  <si>
    <t>APP092</t>
  </si>
  <si>
    <t>APP093</t>
  </si>
  <si>
    <t>APP094</t>
  </si>
  <si>
    <t>APP095</t>
  </si>
  <si>
    <t>APP096</t>
  </si>
  <si>
    <t>APP097</t>
  </si>
  <si>
    <t>APP098</t>
  </si>
  <si>
    <t>APP099</t>
  </si>
  <si>
    <t>APP100</t>
  </si>
  <si>
    <t>APP101</t>
  </si>
  <si>
    <t>APP102</t>
  </si>
  <si>
    <t>APP103</t>
  </si>
  <si>
    <t>APP104</t>
  </si>
  <si>
    <t>APP105</t>
  </si>
  <si>
    <t>APP106</t>
  </si>
  <si>
    <t>APP107</t>
  </si>
  <si>
    <t>APP108</t>
  </si>
  <si>
    <t>APP109</t>
  </si>
  <si>
    <t>APP110</t>
  </si>
  <si>
    <t>APP111</t>
  </si>
  <si>
    <t>APP112</t>
  </si>
  <si>
    <t>APP113</t>
  </si>
  <si>
    <t>APP114</t>
  </si>
  <si>
    <t>APP115</t>
  </si>
  <si>
    <t>APP116</t>
  </si>
  <si>
    <t>APP117</t>
  </si>
  <si>
    <t>APP118</t>
  </si>
  <si>
    <t>APP119</t>
  </si>
  <si>
    <t>APP120</t>
  </si>
  <si>
    <t>APP121</t>
  </si>
  <si>
    <t>APP122</t>
  </si>
  <si>
    <t>APP123</t>
  </si>
  <si>
    <t>APP124</t>
  </si>
  <si>
    <t>APP125</t>
  </si>
  <si>
    <t>APP126</t>
  </si>
  <si>
    <t>APP127</t>
  </si>
  <si>
    <t>APP128</t>
  </si>
  <si>
    <t>APP129</t>
  </si>
  <si>
    <t>APP130</t>
  </si>
  <si>
    <t>APP131</t>
  </si>
  <si>
    <t>APP132</t>
  </si>
  <si>
    <t>APP133</t>
  </si>
  <si>
    <t>APP134</t>
  </si>
  <si>
    <t>APP135</t>
  </si>
  <si>
    <t>APP136</t>
  </si>
  <si>
    <t>APP137</t>
  </si>
  <si>
    <t>APP138</t>
  </si>
  <si>
    <t>APP139</t>
  </si>
  <si>
    <t>APP140</t>
  </si>
  <si>
    <t>APP141</t>
  </si>
  <si>
    <t>APP142</t>
  </si>
  <si>
    <t>APP143</t>
  </si>
  <si>
    <t>APP144</t>
  </si>
  <si>
    <t>APP145</t>
  </si>
  <si>
    <t>APP146</t>
  </si>
  <si>
    <t>APP147</t>
  </si>
  <si>
    <t>APP148</t>
  </si>
  <si>
    <t>APP149</t>
  </si>
  <si>
    <t>APP150</t>
  </si>
  <si>
    <t>APP151</t>
  </si>
  <si>
    <t>APP152</t>
  </si>
  <si>
    <t>APP153</t>
  </si>
  <si>
    <t>APP154</t>
  </si>
  <si>
    <t>APP155</t>
  </si>
  <si>
    <t>APP156</t>
  </si>
  <si>
    <t>APP157</t>
  </si>
  <si>
    <t>APP158</t>
  </si>
  <si>
    <t>APP159</t>
  </si>
  <si>
    <t>APP160</t>
  </si>
  <si>
    <t>APP161</t>
  </si>
  <si>
    <t>APP162</t>
  </si>
  <si>
    <t>APP163</t>
  </si>
  <si>
    <t>APP164</t>
  </si>
  <si>
    <t>APP165</t>
  </si>
  <si>
    <t>APP166</t>
  </si>
  <si>
    <t>APP167</t>
  </si>
  <si>
    <t>APP168</t>
  </si>
  <si>
    <t>APP169</t>
  </si>
  <si>
    <t>APP170</t>
  </si>
  <si>
    <t>APP171</t>
  </si>
  <si>
    <t>APP172</t>
  </si>
  <si>
    <t>APP173</t>
  </si>
  <si>
    <t>APP174</t>
  </si>
  <si>
    <t>APP175</t>
  </si>
  <si>
    <t>APP176</t>
  </si>
  <si>
    <t>APP177</t>
  </si>
  <si>
    <t>APP178</t>
  </si>
  <si>
    <t>APP179</t>
  </si>
  <si>
    <t>APP180</t>
  </si>
  <si>
    <t>APP181</t>
  </si>
  <si>
    <t>APP182</t>
  </si>
  <si>
    <t>APP183</t>
  </si>
  <si>
    <t>APP184</t>
  </si>
  <si>
    <t>APP185</t>
  </si>
  <si>
    <t>APP186</t>
  </si>
  <si>
    <t>APP187</t>
  </si>
  <si>
    <t>APP188</t>
  </si>
  <si>
    <t>APP189</t>
  </si>
  <si>
    <t>APP190</t>
  </si>
  <si>
    <t>APP191</t>
  </si>
  <si>
    <t>APP192</t>
  </si>
  <si>
    <t>APP193</t>
  </si>
  <si>
    <t>APP194</t>
  </si>
  <si>
    <t>APP195</t>
  </si>
  <si>
    <t>APP196</t>
  </si>
  <si>
    <t>APP197</t>
  </si>
  <si>
    <t>APP198</t>
  </si>
  <si>
    <t>APP199</t>
  </si>
  <si>
    <t>APP200</t>
  </si>
  <si>
    <t>Fintech</t>
  </si>
  <si>
    <t>Large</t>
  </si>
  <si>
    <t>IT Services</t>
  </si>
  <si>
    <t>Consulting</t>
  </si>
  <si>
    <t>Technology</t>
  </si>
  <si>
    <t>Software</t>
  </si>
  <si>
    <t>Medium</t>
  </si>
  <si>
    <t>E-Commerce</t>
  </si>
  <si>
    <t>Banking</t>
  </si>
  <si>
    <t>JOB APPLICATION DASHBOARD</t>
  </si>
  <si>
    <t>KPI</t>
  </si>
  <si>
    <t>Value</t>
  </si>
  <si>
    <t>Total Applications</t>
  </si>
  <si>
    <t>TOTAL APPLICATIONS</t>
  </si>
  <si>
    <t>APPLIED</t>
  </si>
  <si>
    <t>SHORTLISTED</t>
  </si>
  <si>
    <t>Interviews</t>
  </si>
  <si>
    <t>Offers</t>
  </si>
  <si>
    <t>Metric</t>
  </si>
  <si>
    <t>Average Salary</t>
  </si>
  <si>
    <t>INTERVIEWS</t>
  </si>
  <si>
    <t>OFFERS</t>
  </si>
  <si>
    <t>REJECTED</t>
  </si>
  <si>
    <t>Highest Salary</t>
  </si>
  <si>
    <t>Lowest Salary</t>
  </si>
  <si>
    <t>Interview rate</t>
  </si>
  <si>
    <t>Offer Rate</t>
  </si>
  <si>
    <t>Rejection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</si>
</sst>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14" fontId="0" fillId="0" borderId="0" xfId="0" applyNumberFormat="1"/>
    <xf numFmtId="0" fontId="6" fillId="0" borderId="0" xfId="0" applyFont="1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0" fillId="0" borderId="4" xfId="0" applyBorder="1"/>
    <xf numFmtId="0" fontId="0" fillId="0" borderId="5" xfId="0" applyBorder="1"/>
    <xf numFmtId="9" fontId="0" fillId="0" borderId="5" xfId="0" applyNumberFormat="1" applyBorder="1"/>
    <xf numFmtId="0" fontId="0" fillId="0" borderId="6" xfId="0" applyBorder="1"/>
    <xf numFmtId="9" fontId="0" fillId="0" borderId="8" xfId="0" applyNumberFormat="1" applyBorder="1"/>
    <xf numFmtId="0" fontId="0" fillId="0" borderId="9" xfId="0" applyBorder="1"/>
    <xf numFmtId="0" fontId="1" fillId="0" borderId="9" xfId="0" applyFont="1" applyBorder="1"/>
    <xf numFmtId="0" fontId="2" fillId="6" borderId="9" xfId="0" applyFont="1" applyFill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[Job_Application_Dashboard.xlsx]Company!PivotTable3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 w="25400">
            <a:solidFill>
              <a:srgbClr val="00B05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Company!$B$3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 w="25400">
              <a:solidFill>
                <a:srgbClr val="00B050"/>
              </a:solidFill>
              <a:prstDash val="solid"/>
            </a:ln>
            <a:effectLst/>
          </c:spPr>
          <c:invertIfNegative val="0"/>
          <c:cat>
            <c:strRef>
              <c:f>Company!$A$4:$A$25</c:f>
              <c:strCache>
                <c:ptCount val="21"/>
                <c:pt idx="0">
                  <c:v>TCS</c:v>
                </c:pt>
                <c:pt idx="1">
                  <c:v>Accenture</c:v>
                </c:pt>
                <c:pt idx="2">
                  <c:v>Fiserv</c:v>
                </c:pt>
                <c:pt idx="3">
                  <c:v>Deloitte</c:v>
                </c:pt>
                <c:pt idx="4">
                  <c:v>Microsoft</c:v>
                </c:pt>
                <c:pt idx="5">
                  <c:v>Cognizant</c:v>
                </c:pt>
                <c:pt idx="6">
                  <c:v>Amazon</c:v>
                </c:pt>
                <c:pt idx="7">
                  <c:v>Oracle</c:v>
                </c:pt>
                <c:pt idx="8">
                  <c:v>Wipro</c:v>
                </c:pt>
                <c:pt idx="9">
                  <c:v>Zoho</c:v>
                </c:pt>
                <c:pt idx="10">
                  <c:v>HCL</c:v>
                </c:pt>
                <c:pt idx="11">
                  <c:v>Infosys</c:v>
                </c:pt>
                <c:pt idx="12">
                  <c:v>IBM</c:v>
                </c:pt>
                <c:pt idx="13">
                  <c:v>Capgemini</c:v>
                </c:pt>
                <c:pt idx="14">
                  <c:v>Visa</c:v>
                </c:pt>
                <c:pt idx="15">
                  <c:v>Wells Fargo</c:v>
                </c:pt>
                <c:pt idx="16">
                  <c:v>Mastercard</c:v>
                </c:pt>
                <c:pt idx="17">
                  <c:v>PayPal</c:v>
                </c:pt>
                <c:pt idx="18">
                  <c:v>Citi</c:v>
                </c:pt>
                <c:pt idx="19">
                  <c:v>JPMorgan</c:v>
                </c:pt>
                <c:pt idx="20">
                  <c:v>(blank)</c:v>
                </c:pt>
              </c:strCache>
            </c:strRef>
          </c:cat>
          <c:val>
            <c:numRef>
              <c:f>Company!$B$4:$B$25</c:f>
              <c:numCache>
                <c:formatCode>General</c:formatCode>
                <c:ptCount val="21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F-40D2-A0AB-A11133B2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230664"/>
        <c:axId val="951026184"/>
      </c:barChart>
      <c:catAx>
        <c:axId val="948230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26184"/>
        <c:crosses val="autoZero"/>
        <c:auto val="1"/>
        <c:lblAlgn val="ctr"/>
        <c:lblOffset val="100"/>
        <c:noMultiLvlLbl val="0"/>
      </c:catAx>
      <c:valAx>
        <c:axId val="95102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3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[Job_Application_Dashboard.xlsx]Role!PivotTable1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solidFill>
              <a:srgbClr val="00206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002060"/>
              </a:solidFill>
              <a:prstDash val="solid"/>
            </a:ln>
            <a:effectLst/>
          </c:spPr>
          <c:invertIfNegative val="0"/>
          <c:cat>
            <c:strRef>
              <c:f>Role!$A$4:$A$14</c:f>
              <c:strCache>
                <c:ptCount val="10"/>
                <c:pt idx="0">
                  <c:v>Data Analyst</c:v>
                </c:pt>
                <c:pt idx="1">
                  <c:v>Python Developer</c:v>
                </c:pt>
                <c:pt idx="2">
                  <c:v>Software Engineer</c:v>
                </c:pt>
                <c:pt idx="3">
                  <c:v>Technology Analyst</c:v>
                </c:pt>
                <c:pt idx="4">
                  <c:v>Business Analyst</c:v>
                </c:pt>
                <c:pt idx="5">
                  <c:v>SQL Developer</c:v>
                </c:pt>
                <c:pt idx="6">
                  <c:v>QA Engineer</c:v>
                </c:pt>
                <c:pt idx="7">
                  <c:v>Automation Tester</c:v>
                </c:pt>
                <c:pt idx="8">
                  <c:v>Associate Analyst</c:v>
                </c:pt>
                <c:pt idx="9">
                  <c:v>Support Engineer</c:v>
                </c:pt>
              </c:strCache>
            </c:strRef>
          </c:cat>
          <c:val>
            <c:numRef>
              <c:f>Role!$B$4:$B$14</c:f>
              <c:numCache>
                <c:formatCode>General</c:formatCode>
                <c:ptCount val="10"/>
                <c:pt idx="0">
                  <c:v>47</c:v>
                </c:pt>
                <c:pt idx="1">
                  <c:v>45</c:v>
                </c:pt>
                <c:pt idx="2">
                  <c:v>36</c:v>
                </c:pt>
                <c:pt idx="3">
                  <c:v>29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C-46B1-B743-66FFB3C2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4450183"/>
        <c:axId val="1534452231"/>
      </c:barChart>
      <c:catAx>
        <c:axId val="1534450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52231"/>
        <c:crosses val="autoZero"/>
        <c:auto val="1"/>
        <c:lblAlgn val="ctr"/>
        <c:lblOffset val="100"/>
        <c:noMultiLvlLbl val="0"/>
      </c:catAx>
      <c:valAx>
        <c:axId val="1534452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5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[Job_Application_Dashboard.xlsx]Location!PivotTable2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solidFill>
              <a:srgbClr val="ED7D3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  <a:effectLst/>
          </c:spPr>
          <c:invertIfNegative val="0"/>
          <c:cat>
            <c:strRef>
              <c:f>Location!$A$4:$A$11</c:f>
              <c:strCache>
                <c:ptCount val="7"/>
                <c:pt idx="0">
                  <c:v>Hyderabad</c:v>
                </c:pt>
                <c:pt idx="1">
                  <c:v>Bangalore</c:v>
                </c:pt>
                <c:pt idx="2">
                  <c:v>Chennai</c:v>
                </c:pt>
                <c:pt idx="3">
                  <c:v>Pune</c:v>
                </c:pt>
                <c:pt idx="4">
                  <c:v>Delhi</c:v>
                </c:pt>
                <c:pt idx="5">
                  <c:v>Mumbai</c:v>
                </c:pt>
                <c:pt idx="6">
                  <c:v>Noida</c:v>
                </c:pt>
              </c:strCache>
            </c:strRef>
          </c:cat>
          <c:val>
            <c:numRef>
              <c:f>Location!$B$4:$B$11</c:f>
              <c:numCache>
                <c:formatCode>General</c:formatCode>
                <c:ptCount val="7"/>
                <c:pt idx="0">
                  <c:v>55</c:v>
                </c:pt>
                <c:pt idx="1">
                  <c:v>54</c:v>
                </c:pt>
                <c:pt idx="2">
                  <c:v>50</c:v>
                </c:pt>
                <c:pt idx="3">
                  <c:v>30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4-411C-B1A1-B70AD42D0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503239"/>
        <c:axId val="1505505287"/>
      </c:barChart>
      <c:catAx>
        <c:axId val="1505503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05287"/>
        <c:crosses val="autoZero"/>
        <c:auto val="1"/>
        <c:lblAlgn val="ctr"/>
        <c:lblOffset val="100"/>
        <c:noMultiLvlLbl val="0"/>
      </c:catAx>
      <c:valAx>
        <c:axId val="1505505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03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[Job_Application_Dashboard.xlsx]Source!PivotTable3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Source!$B$3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Source!$A$4:$A$9</c:f>
              <c:strCache>
                <c:ptCount val="5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  <c:pt idx="3">
                  <c:v>Direct</c:v>
                </c:pt>
                <c:pt idx="4">
                  <c:v>Company Website</c:v>
                </c:pt>
              </c:strCache>
            </c:strRef>
          </c:cat>
          <c:val>
            <c:numRef>
              <c:f>Source!$B$4:$B$9</c:f>
              <c:numCache>
                <c:formatCode>General</c:formatCode>
                <c:ptCount val="5"/>
                <c:pt idx="0">
                  <c:v>70</c:v>
                </c:pt>
                <c:pt idx="1">
                  <c:v>57</c:v>
                </c:pt>
                <c:pt idx="2">
                  <c:v>43</c:v>
                </c:pt>
                <c:pt idx="3">
                  <c:v>28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B0B-9095-3A1B35C20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554311"/>
        <c:axId val="1363556359"/>
      </c:barChart>
      <c:catAx>
        <c:axId val="1363554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56359"/>
        <c:crosses val="autoZero"/>
        <c:auto val="1"/>
        <c:lblAlgn val="ctr"/>
        <c:lblOffset val="100"/>
        <c:noMultiLvlLbl val="0"/>
      </c:catAx>
      <c:valAx>
        <c:axId val="136355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5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[Job_Application_Dashboard.xlsx]Applications over time!PivotTable3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'Applications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'Applications over time'!$A$4:$A$13</c:f>
              <c:strCache>
                <c:ptCount val="9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</c:strCache>
            </c:strRef>
          </c:cat>
          <c:val>
            <c:numRef>
              <c:f>'Applications over time'!$B$4:$B$13</c:f>
              <c:numCache>
                <c:formatCode>General</c:formatCode>
                <c:ptCount val="9"/>
                <c:pt idx="0">
                  <c:v>14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46</c:v>
                </c:pt>
                <c:pt idx="7">
                  <c:v>49</c:v>
                </c:pt>
                <c:pt idx="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F-4C3C-B32A-4E3A5B3E5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044040"/>
        <c:axId val="608046088"/>
      </c:lineChart>
      <c:catAx>
        <c:axId val="60804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46088"/>
        <c:crosses val="autoZero"/>
        <c:auto val="1"/>
        <c:lblAlgn val="ctr"/>
        <c:lblOffset val="100"/>
        <c:noMultiLvlLbl val="0"/>
      </c:catAx>
      <c:valAx>
        <c:axId val="60804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4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[Job_Application_Dashboard.xlsx]Applications by Work Mode!PivotTable4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Work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'Applications by Work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2F-4526-B6BC-BF62E6DF58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2F-4526-B6BC-BF62E6DF58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2F-4526-B6BC-BF62E6DF58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'Applications by Work Mode'!$A$4:$A$7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'Applications by Work Mode'!$B$4:$B$7</c:f>
              <c:numCache>
                <c:formatCode>General</c:formatCode>
                <c:ptCount val="3"/>
                <c:pt idx="0">
                  <c:v>98</c:v>
                </c:pt>
                <c:pt idx="1">
                  <c:v>47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2F-4526-B6BC-BF62E6DF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[Job_Application_Dashboard.xlsx]Average Salary by Role!PivotTable4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Role'!$B$3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'Average Salary by Role'!$A$4:$A$14</c:f>
              <c:strCache>
                <c:ptCount val="10"/>
                <c:pt idx="0">
                  <c:v>Associate Analyst</c:v>
                </c:pt>
                <c:pt idx="1">
                  <c:v>Automation Tester</c:v>
                </c:pt>
                <c:pt idx="2">
                  <c:v>Business Analyst</c:v>
                </c:pt>
                <c:pt idx="3">
                  <c:v>Data Analyst</c:v>
                </c:pt>
                <c:pt idx="4">
                  <c:v>Python Developer</c:v>
                </c:pt>
                <c:pt idx="5">
                  <c:v>QA Engineer</c:v>
                </c:pt>
                <c:pt idx="6">
                  <c:v>Software Engineer</c:v>
                </c:pt>
                <c:pt idx="7">
                  <c:v>SQL Developer</c:v>
                </c:pt>
                <c:pt idx="8">
                  <c:v>Support Engineer</c:v>
                </c:pt>
                <c:pt idx="9">
                  <c:v>Technology Analyst</c:v>
                </c:pt>
              </c:strCache>
            </c:strRef>
          </c:cat>
          <c:val>
            <c:numRef>
              <c:f>'Average Salary by Role'!$B$4:$B$14</c:f>
              <c:numCache>
                <c:formatCode>General</c:formatCode>
                <c:ptCount val="10"/>
                <c:pt idx="0">
                  <c:v>587500</c:v>
                </c:pt>
                <c:pt idx="1">
                  <c:v>650000</c:v>
                </c:pt>
                <c:pt idx="2" formatCode="0">
                  <c:v>729090.90909090906</c:v>
                </c:pt>
                <c:pt idx="3" formatCode="0">
                  <c:v>669148.93617021281</c:v>
                </c:pt>
                <c:pt idx="4" formatCode="0">
                  <c:v>622222.22222222225</c:v>
                </c:pt>
                <c:pt idx="5" formatCode="0">
                  <c:v>607777.77777777775</c:v>
                </c:pt>
                <c:pt idx="6" formatCode="0">
                  <c:v>737777.77777777775</c:v>
                </c:pt>
                <c:pt idx="7" formatCode="0">
                  <c:v>681000</c:v>
                </c:pt>
                <c:pt idx="8" formatCode="0">
                  <c:v>510000</c:v>
                </c:pt>
                <c:pt idx="9" formatCode="0">
                  <c:v>677931.03448275861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0-40A6-9DB0-B68ED94FC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809543"/>
        <c:axId val="1499410951"/>
      </c:barChart>
      <c:catAx>
        <c:axId val="154380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410951"/>
        <c:crosses val="autoZero"/>
        <c:auto val="1"/>
        <c:lblAlgn val="ctr"/>
        <c:lblOffset val="100"/>
        <c:noMultiLvlLbl val="0"/>
      </c:catAx>
      <c:valAx>
        <c:axId val="149941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80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[Job_Application_Dashboard.xlsx]Status!PivotTable1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Status!$A$4:$A$10</c:f>
              <c:strCache>
                <c:ptCount val="6"/>
                <c:pt idx="0">
                  <c:v>Applied</c:v>
                </c:pt>
                <c:pt idx="1">
                  <c:v>Interview</c:v>
                </c:pt>
                <c:pt idx="2">
                  <c:v>Offer</c:v>
                </c:pt>
                <c:pt idx="3">
                  <c:v>Rejected</c:v>
                </c:pt>
                <c:pt idx="4">
                  <c:v>Shortlisted</c:v>
                </c:pt>
                <c:pt idx="5">
                  <c:v>8/15/2026</c:v>
                </c:pt>
              </c:strCache>
            </c:strRef>
          </c:cat>
          <c:val>
            <c:numRef>
              <c:f>Status!$B$4:$B$10</c:f>
              <c:numCache>
                <c:formatCode>General</c:formatCode>
                <c:ptCount val="6"/>
                <c:pt idx="0">
                  <c:v>62</c:v>
                </c:pt>
                <c:pt idx="1">
                  <c:v>48</c:v>
                </c:pt>
                <c:pt idx="2">
                  <c:v>6</c:v>
                </c:pt>
                <c:pt idx="3">
                  <c:v>38</c:v>
                </c:pt>
                <c:pt idx="4">
                  <c:v>45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0-4B5A-A122-92C5C6CF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085767"/>
        <c:axId val="540087815"/>
      </c:barChart>
      <c:catAx>
        <c:axId val="540085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87815"/>
        <c:crosses val="autoZero"/>
        <c:auto val="1"/>
        <c:lblAlgn val="ctr"/>
        <c:lblOffset val="100"/>
        <c:noMultiLvlLbl val="0"/>
      </c:catAx>
      <c:valAx>
        <c:axId val="54008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85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22</xdr:row>
      <xdr:rowOff>0</xdr:rowOff>
    </xdr:from>
    <xdr:to>
      <xdr:col>14</xdr:col>
      <xdr:colOff>180975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447C7-5B0E-44A4-A318-1CCBB2D9C668}"/>
            </a:ext>
            <a:ext uri="{147F2762-F138-4A5C-976F-8EAC2B608ADB}">
              <a16:predDERef xmlns:a16="http://schemas.microsoft.com/office/drawing/2014/main" pred="{ADDF6443-E290-4ADC-A4E1-2E1B5AB6E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66675</xdr:rowOff>
    </xdr:from>
    <xdr:to>
      <xdr:col>5</xdr:col>
      <xdr:colOff>314325</xdr:colOff>
      <xdr:row>55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161171-1735-4091-9823-9A0F82F86A8D}"/>
            </a:ext>
            <a:ext uri="{147F2762-F138-4A5C-976F-8EAC2B608ADB}">
              <a16:predDERef xmlns:a16="http://schemas.microsoft.com/office/drawing/2014/main" pred="{7F0447C7-5B0E-44A4-A318-1CCBB2D9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657225</xdr:colOff>
      <xdr:row>41</xdr:row>
      <xdr:rowOff>104775</xdr:rowOff>
    </xdr:from>
    <xdr:to>
      <xdr:col>14</xdr:col>
      <xdr:colOff>238125</xdr:colOff>
      <xdr:row>55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EE5EC8-1E3E-40C6-A7E2-96E46073A05E}"/>
            </a:ext>
            <a:ext uri="{147F2762-F138-4A5C-976F-8EAC2B608ADB}">
              <a16:predDERef xmlns:a16="http://schemas.microsoft.com/office/drawing/2014/main" pred="{EC161171-1735-4091-9823-9A0F82F8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5</xdr:col>
      <xdr:colOff>314325</xdr:colOff>
      <xdr:row>74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D9E73C-A124-4859-925A-A7B4A6580A79}"/>
            </a:ext>
            <a:ext uri="{147F2762-F138-4A5C-976F-8EAC2B608ADB}">
              <a16:predDERef xmlns:a16="http://schemas.microsoft.com/office/drawing/2014/main" pred="{DAEE5EC8-1E3E-40C6-A7E2-96E46073A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476250</xdr:colOff>
      <xdr:row>59</xdr:row>
      <xdr:rowOff>171450</xdr:rowOff>
    </xdr:from>
    <xdr:to>
      <xdr:col>14</xdr:col>
      <xdr:colOff>57150</xdr:colOff>
      <xdr:row>74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A4DF61-17C4-48F0-889D-6BF4248B6575}"/>
            </a:ext>
            <a:ext uri="{147F2762-F138-4A5C-976F-8EAC2B608ADB}">
              <a16:predDERef xmlns:a16="http://schemas.microsoft.com/office/drawing/2014/main" pred="{9DD9E73C-A124-4859-925A-A7B4A6580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5</xdr:col>
      <xdr:colOff>314325</xdr:colOff>
      <xdr:row>94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410148-F23B-4A29-A9AE-82234FACAA66}"/>
            </a:ext>
            <a:ext uri="{147F2762-F138-4A5C-976F-8EAC2B608ADB}">
              <a16:predDERef xmlns:a16="http://schemas.microsoft.com/office/drawing/2014/main" pred="{7AA4DF61-17C4-48F0-889D-6BF4248B6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571500</xdr:colOff>
      <xdr:row>79</xdr:row>
      <xdr:rowOff>152400</xdr:rowOff>
    </xdr:from>
    <xdr:to>
      <xdr:col>14</xdr:col>
      <xdr:colOff>152400</xdr:colOff>
      <xdr:row>94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F2E755-D3E7-4853-894D-4F6A5F790BAE}"/>
            </a:ext>
            <a:ext uri="{147F2762-F138-4A5C-976F-8EAC2B608ADB}">
              <a16:predDERef xmlns:a16="http://schemas.microsoft.com/office/drawing/2014/main" pred="{2B410148-F23B-4A29-A9AE-82234FACA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21</xdr:row>
      <xdr:rowOff>95250</xdr:rowOff>
    </xdr:from>
    <xdr:to>
      <xdr:col>5</xdr:col>
      <xdr:colOff>361950</xdr:colOff>
      <xdr:row>35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ACC91F-288E-4295-A89B-47E39DCC0583}"/>
            </a:ext>
            <a:ext uri="{147F2762-F138-4A5C-976F-8EAC2B608ADB}">
              <a16:predDERef xmlns:a16="http://schemas.microsoft.com/office/drawing/2014/main" pred="{F8F2E755-D3E7-4853-894D-4F6A5F790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645789236114" createdVersion="8" refreshedVersion="8" minRefreshableVersion="3" recordCount="200" xr:uid="{AFDCC5BC-6875-4249-BD94-5AF9066F3272}">
  <cacheSource type="worksheet">
    <worksheetSource name="Application"/>
  </cacheSource>
  <cacheFields count="15">
    <cacheField name="Application_ID" numFmtId="0">
      <sharedItems/>
    </cacheField>
    <cacheField name="Company" numFmtId="0">
      <sharedItems containsBlank="1" count="21">
        <s v="Fiserv"/>
        <s v="TCS"/>
        <s v="Accenture"/>
        <s v="Infosys"/>
        <s v="Wipro"/>
        <s v="Cognizant"/>
        <s v="HCL"/>
        <s v="IBM"/>
        <s v="Deloitte"/>
        <s v="Capgemini"/>
        <s v="Zoho"/>
        <s v="Amazon"/>
        <s v="Microsoft"/>
        <s v="Oracle"/>
        <s v="PayPal"/>
        <s v="Wells Fargo"/>
        <s v="JPMorgan"/>
        <s v="Citi"/>
        <s v="Visa"/>
        <s v="Mastercard"/>
        <m/>
      </sharedItems>
    </cacheField>
    <cacheField name="Role" numFmtId="0">
      <sharedItems count="10">
        <s v="Technology Analyst"/>
        <s v="Python Developer"/>
        <s v="Data Analyst"/>
        <s v="Software Engineer"/>
        <s v="SQL Developer"/>
        <s v="Business Analyst"/>
        <s v="QA Engineer"/>
        <s v="Automation Tester"/>
        <s v="Support Engineer"/>
        <s v="Associate Analyst"/>
      </sharedItems>
    </cacheField>
    <cacheField name="Location" numFmtId="0">
      <sharedItems count="7">
        <s v="Hyderabad"/>
        <s v="Chennai"/>
        <s v="Bangalore"/>
        <s v="Pune"/>
        <s v="Mumbai"/>
        <s v="Delhi"/>
        <s v="Noida"/>
      </sharedItems>
    </cacheField>
    <cacheField name="Salary" numFmtId="0">
      <sharedItems containsSemiMixedTypes="0" containsString="0" containsNumber="1" containsInteger="1" minValue="500000" maxValue="900000"/>
    </cacheField>
    <cacheField name="Applied_Date" numFmtId="14">
      <sharedItems containsSemiMixedTypes="0" containsNonDate="0" containsDate="1" containsString="0" minDate="2026-02-01T00:00:00" maxDate="2026-10-15T00:00:00"/>
    </cacheField>
    <cacheField name="Status" numFmtId="0">
      <sharedItems containsDate="1" containsMixedTypes="1" minDate="2026-08-15T00:00:00" maxDate="2026-08-16T00:00:00" count="6">
        <s v="Applied"/>
        <s v="Shortlisted"/>
        <s v="Interview"/>
        <s v="Rejected"/>
        <s v="Offer"/>
        <d v="2026-08-15T00:00:00"/>
      </sharedItems>
    </cacheField>
    <cacheField name="Source" numFmtId="0">
      <sharedItems count="5">
        <s v="LinkedIn"/>
        <s v="Naukri"/>
        <s v="Referral"/>
        <s v="Direct"/>
        <s v="Company Website"/>
      </sharedItems>
    </cacheField>
    <cacheField name="Work_Mode" numFmtId="0">
      <sharedItems count="3">
        <s v="Hybrid"/>
        <s v="Onsite"/>
        <s v="Remote"/>
      </sharedItems>
    </cacheField>
    <cacheField name="Experience" numFmtId="0">
      <sharedItems/>
    </cacheField>
    <cacheField name="Degree" numFmtId="0">
      <sharedItems/>
    </cacheField>
    <cacheField name="Job_Type" numFmtId="0">
      <sharedItems/>
    </cacheField>
    <cacheField name="Industry" numFmtId="0">
      <sharedItems/>
    </cacheField>
    <cacheField name="Company_Size" numFmtId="0">
      <sharedItems containsNonDate="0" containsString="0" containsBlank="1"/>
    </cacheField>
    <cacheField name="Month" numFmtId="0">
      <sharedItems count="9">
        <s v="August"/>
        <s v="September"/>
        <s v="February"/>
        <s v="March"/>
        <s v="April"/>
        <s v="May"/>
        <s v="June"/>
        <s v="July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PP001"/>
    <x v="0"/>
    <x v="0"/>
    <x v="0"/>
    <n v="600000"/>
    <d v="2026-08-01T00:00:00"/>
    <x v="0"/>
    <x v="0"/>
    <x v="0"/>
    <s v="Fresher"/>
    <s v="B.Tech"/>
    <s v="Full Time"/>
    <s v="Fintech"/>
    <m/>
    <x v="0"/>
  </r>
  <r>
    <s v="APP002"/>
    <x v="1"/>
    <x v="1"/>
    <x v="1"/>
    <n v="500000"/>
    <d v="2026-08-02T00:00:00"/>
    <x v="1"/>
    <x v="1"/>
    <x v="1"/>
    <s v="0-1 Years"/>
    <s v="BCA"/>
    <s v="Full Time"/>
    <s v="IT Services"/>
    <m/>
    <x v="0"/>
  </r>
  <r>
    <s v="APP003"/>
    <x v="2"/>
    <x v="2"/>
    <x v="2"/>
    <n v="550000"/>
    <d v="2026-08-03T00:00:00"/>
    <x v="2"/>
    <x v="1"/>
    <x v="0"/>
    <s v="1-2 Years"/>
    <s v="B.Sc"/>
    <s v="Full Time"/>
    <s v="Consulting"/>
    <m/>
    <x v="0"/>
  </r>
  <r>
    <s v="APP004"/>
    <x v="3"/>
    <x v="1"/>
    <x v="3"/>
    <n v="500000"/>
    <d v="2026-08-04T00:00:00"/>
    <x v="3"/>
    <x v="0"/>
    <x v="0"/>
    <s v="Fresher"/>
    <s v="B.Tech"/>
    <s v="Full Time"/>
    <s v="IT Services"/>
    <m/>
    <x v="0"/>
  </r>
  <r>
    <s v="APP005"/>
    <x v="4"/>
    <x v="2"/>
    <x v="2"/>
    <n v="600000"/>
    <d v="2026-08-05T00:00:00"/>
    <x v="0"/>
    <x v="0"/>
    <x v="2"/>
    <s v="0-1 Years"/>
    <s v="BCA"/>
    <s v="Full Time"/>
    <s v="IT Services"/>
    <m/>
    <x v="0"/>
  </r>
  <r>
    <s v="APP006"/>
    <x v="5"/>
    <x v="3"/>
    <x v="1"/>
    <n v="650000"/>
    <d v="2026-08-06T00:00:00"/>
    <x v="2"/>
    <x v="2"/>
    <x v="0"/>
    <s v="1-2 Years"/>
    <s v="B.Tech"/>
    <s v="Full Time"/>
    <s v="IT Services"/>
    <m/>
    <x v="0"/>
  </r>
  <r>
    <s v="APP007"/>
    <x v="6"/>
    <x v="1"/>
    <x v="0"/>
    <n v="550000"/>
    <d v="2026-08-07T00:00:00"/>
    <x v="4"/>
    <x v="1"/>
    <x v="0"/>
    <s v="Fresher"/>
    <s v="BCA"/>
    <s v="Full Time"/>
    <s v="IT Services"/>
    <m/>
    <x v="0"/>
  </r>
  <r>
    <s v="APP008"/>
    <x v="7"/>
    <x v="2"/>
    <x v="2"/>
    <n v="700000"/>
    <d v="2026-08-08T00:00:00"/>
    <x v="3"/>
    <x v="0"/>
    <x v="2"/>
    <s v="0-1 Years"/>
    <s v="B.Sc"/>
    <s v="Full Time"/>
    <s v="Technology"/>
    <m/>
    <x v="0"/>
  </r>
  <r>
    <s v="APP009"/>
    <x v="8"/>
    <x v="0"/>
    <x v="0"/>
    <n v="650000"/>
    <d v="2026-08-09T00:00:00"/>
    <x v="1"/>
    <x v="2"/>
    <x v="0"/>
    <s v="1-2 Years"/>
    <s v="MCA"/>
    <s v="Full Time"/>
    <s v="Consulting"/>
    <m/>
    <x v="0"/>
  </r>
  <r>
    <s v="APP010"/>
    <x v="9"/>
    <x v="3"/>
    <x v="1"/>
    <n v="600000"/>
    <d v="2026-08-10T00:00:00"/>
    <x v="0"/>
    <x v="0"/>
    <x v="1"/>
    <s v="Fresher"/>
    <s v="B.Tech"/>
    <s v="Full Time"/>
    <s v="IT Services"/>
    <m/>
    <x v="0"/>
  </r>
  <r>
    <s v="APP011"/>
    <x v="10"/>
    <x v="1"/>
    <x v="1"/>
    <n v="550000"/>
    <d v="2026-08-11T00:00:00"/>
    <x v="2"/>
    <x v="3"/>
    <x v="0"/>
    <s v="0-1 Years"/>
    <s v="BCA"/>
    <s v="Full Time"/>
    <s v="Software"/>
    <m/>
    <x v="0"/>
  </r>
  <r>
    <s v="APP012"/>
    <x v="11"/>
    <x v="2"/>
    <x v="2"/>
    <n v="750000"/>
    <d v="2026-08-12T00:00:00"/>
    <x v="0"/>
    <x v="3"/>
    <x v="0"/>
    <s v="1-2 Years"/>
    <s v="B.Sc"/>
    <s v="Full Time"/>
    <s v="E-Commerce"/>
    <m/>
    <x v="0"/>
  </r>
  <r>
    <s v="APP013"/>
    <x v="12"/>
    <x v="3"/>
    <x v="0"/>
    <n v="850000"/>
    <d v="2026-08-13T00:00:00"/>
    <x v="1"/>
    <x v="0"/>
    <x v="2"/>
    <s v="1-2 Years"/>
    <s v="B.Tech"/>
    <s v="Full Time"/>
    <s v="Technology"/>
    <m/>
    <x v="0"/>
  </r>
  <r>
    <s v="APP014"/>
    <x v="13"/>
    <x v="2"/>
    <x v="3"/>
    <n v="700000"/>
    <d v="2026-08-14T00:00:00"/>
    <x v="3"/>
    <x v="1"/>
    <x v="0"/>
    <s v="Fresher"/>
    <s v="B.Sc"/>
    <s v="Full Time"/>
    <s v="Technology"/>
    <m/>
    <x v="0"/>
  </r>
  <r>
    <s v="APP015"/>
    <x v="2"/>
    <x v="1"/>
    <x v="1"/>
    <n v="600000"/>
    <d v="2026-08-15T00:00:00"/>
    <x v="5"/>
    <x v="0"/>
    <x v="1"/>
    <s v="0-1 Years"/>
    <s v="B.Tech"/>
    <s v="Full Time"/>
    <s v="Consulting"/>
    <m/>
    <x v="0"/>
  </r>
  <r>
    <s v="APP016"/>
    <x v="1"/>
    <x v="3"/>
    <x v="0"/>
    <n v="650000"/>
    <d v="2026-08-16T00:00:00"/>
    <x v="2"/>
    <x v="1"/>
    <x v="0"/>
    <s v="1-2 Years"/>
    <s v="BCA"/>
    <s v="Full Time"/>
    <s v="IT Services"/>
    <m/>
    <x v="0"/>
  </r>
  <r>
    <s v="APP017"/>
    <x v="0"/>
    <x v="2"/>
    <x v="2"/>
    <n v="620000"/>
    <d v="2026-08-17T00:00:00"/>
    <x v="0"/>
    <x v="2"/>
    <x v="0"/>
    <s v="Fresher"/>
    <s v="B.Sc"/>
    <s v="Full Time"/>
    <s v="Fintech"/>
    <m/>
    <x v="0"/>
  </r>
  <r>
    <s v="APP018"/>
    <x v="3"/>
    <x v="0"/>
    <x v="1"/>
    <n v="580000"/>
    <d v="2026-08-18T00:00:00"/>
    <x v="1"/>
    <x v="0"/>
    <x v="2"/>
    <s v="0-1 Years"/>
    <s v="B.Tech"/>
    <s v="Full Time"/>
    <s v="IT Services"/>
    <m/>
    <x v="0"/>
  </r>
  <r>
    <s v="APP019"/>
    <x v="4"/>
    <x v="1"/>
    <x v="0"/>
    <n v="520000"/>
    <d v="2026-08-19T00:00:00"/>
    <x v="3"/>
    <x v="1"/>
    <x v="0"/>
    <s v="Fresher"/>
    <s v="BCA"/>
    <s v="Full Time"/>
    <s v="IT Services"/>
    <m/>
    <x v="0"/>
  </r>
  <r>
    <s v="APP020"/>
    <x v="5"/>
    <x v="2"/>
    <x v="3"/>
    <n v="600000"/>
    <d v="2026-08-20T00:00:00"/>
    <x v="2"/>
    <x v="2"/>
    <x v="1"/>
    <s v="1-2 Years"/>
    <s v="B.Sc"/>
    <s v="Full Time"/>
    <s v="IT Services"/>
    <m/>
    <x v="0"/>
  </r>
  <r>
    <s v="APP021"/>
    <x v="6"/>
    <x v="3"/>
    <x v="2"/>
    <n v="680000"/>
    <d v="2026-08-21T00:00:00"/>
    <x v="0"/>
    <x v="0"/>
    <x v="0"/>
    <s v="0-1 Years"/>
    <s v="B.Tech"/>
    <s v="Full Time"/>
    <s v="IT Services"/>
    <m/>
    <x v="0"/>
  </r>
  <r>
    <s v="APP022"/>
    <x v="7"/>
    <x v="1"/>
    <x v="1"/>
    <n v="570000"/>
    <d v="2026-08-22T00:00:00"/>
    <x v="0"/>
    <x v="1"/>
    <x v="2"/>
    <s v="Fresher"/>
    <s v="BCA"/>
    <s v="Full Time"/>
    <s v="Technology"/>
    <m/>
    <x v="0"/>
  </r>
  <r>
    <s v="APP023"/>
    <x v="8"/>
    <x v="2"/>
    <x v="0"/>
    <n v="720000"/>
    <d v="2026-08-23T00:00:00"/>
    <x v="2"/>
    <x v="2"/>
    <x v="0"/>
    <s v="1-2 Years"/>
    <s v="MCA"/>
    <s v="Full Time"/>
    <s v="Consulting"/>
    <m/>
    <x v="0"/>
  </r>
  <r>
    <s v="APP024"/>
    <x v="9"/>
    <x v="1"/>
    <x v="3"/>
    <n v="530000"/>
    <d v="2026-08-24T00:00:00"/>
    <x v="3"/>
    <x v="0"/>
    <x v="1"/>
    <s v="Fresher"/>
    <s v="B.Tech"/>
    <s v="Full Time"/>
    <s v="IT Services"/>
    <m/>
    <x v="0"/>
  </r>
  <r>
    <s v="APP025"/>
    <x v="10"/>
    <x v="3"/>
    <x v="1"/>
    <n v="650000"/>
    <d v="2026-08-25T00:00:00"/>
    <x v="4"/>
    <x v="3"/>
    <x v="0"/>
    <s v="1-2 Years"/>
    <s v="B.Tech"/>
    <s v="Full Time"/>
    <s v="Software"/>
    <m/>
    <x v="0"/>
  </r>
  <r>
    <s v="APP026"/>
    <x v="11"/>
    <x v="1"/>
    <x v="2"/>
    <n v="700000"/>
    <d v="2026-08-26T00:00:00"/>
    <x v="1"/>
    <x v="0"/>
    <x v="2"/>
    <s v="0-1 Years"/>
    <s v="BCA"/>
    <s v="Full Time"/>
    <s v="E-Commerce"/>
    <m/>
    <x v="0"/>
  </r>
  <r>
    <s v="APP027"/>
    <x v="12"/>
    <x v="2"/>
    <x v="0"/>
    <n v="800000"/>
    <d v="2026-08-27T00:00:00"/>
    <x v="2"/>
    <x v="3"/>
    <x v="0"/>
    <s v="1-2 Years"/>
    <s v="MCA"/>
    <s v="Full Time"/>
    <s v="Technology"/>
    <m/>
    <x v="0"/>
  </r>
  <r>
    <s v="APP028"/>
    <x v="13"/>
    <x v="0"/>
    <x v="3"/>
    <n v="680000"/>
    <d v="2026-08-28T00:00:00"/>
    <x v="0"/>
    <x v="1"/>
    <x v="0"/>
    <s v="Fresher"/>
    <s v="B.Tech"/>
    <s v="Full Time"/>
    <s v="Technology"/>
    <m/>
    <x v="0"/>
  </r>
  <r>
    <s v="APP029"/>
    <x v="0"/>
    <x v="1"/>
    <x v="1"/>
    <n v="620000"/>
    <d v="2026-08-29T00:00:00"/>
    <x v="1"/>
    <x v="0"/>
    <x v="1"/>
    <s v="0-1 Years"/>
    <s v="BCA"/>
    <s v="Full Time"/>
    <s v="Fintech"/>
    <m/>
    <x v="0"/>
  </r>
  <r>
    <s v="APP030"/>
    <x v="1"/>
    <x v="2"/>
    <x v="0"/>
    <n v="580000"/>
    <d v="2026-08-30T00:00:00"/>
    <x v="3"/>
    <x v="1"/>
    <x v="0"/>
    <s v="Fresher"/>
    <s v="B.Sc"/>
    <s v="Full Time"/>
    <s v="IT Services"/>
    <m/>
    <x v="0"/>
  </r>
  <r>
    <s v="APP031"/>
    <x v="2"/>
    <x v="3"/>
    <x v="2"/>
    <n v="700000"/>
    <d v="2026-08-31T00:00:00"/>
    <x v="0"/>
    <x v="2"/>
    <x v="2"/>
    <s v="1-2 Years"/>
    <s v="B.Tech"/>
    <s v="Full Time"/>
    <s v="Consulting"/>
    <m/>
    <x v="0"/>
  </r>
  <r>
    <s v="APP032"/>
    <x v="3"/>
    <x v="2"/>
    <x v="1"/>
    <n v="550000"/>
    <d v="2026-09-01T00:00:00"/>
    <x v="2"/>
    <x v="0"/>
    <x v="0"/>
    <s v="0-1 Years"/>
    <s v="B.Sc"/>
    <s v="Full Time"/>
    <s v="IT Services"/>
    <m/>
    <x v="1"/>
  </r>
  <r>
    <s v="APP033"/>
    <x v="4"/>
    <x v="0"/>
    <x v="0"/>
    <n v="600000"/>
    <d v="2026-09-02T00:00:00"/>
    <x v="0"/>
    <x v="1"/>
    <x v="0"/>
    <s v="Fresher"/>
    <s v="MCA"/>
    <s v="Full Time"/>
    <s v="IT Services"/>
    <m/>
    <x v="1"/>
  </r>
  <r>
    <s v="APP034"/>
    <x v="5"/>
    <x v="1"/>
    <x v="2"/>
    <n v="650000"/>
    <d v="2026-09-03T00:00:00"/>
    <x v="1"/>
    <x v="2"/>
    <x v="2"/>
    <s v="1-2 Years"/>
    <s v="BCA"/>
    <s v="Full Time"/>
    <s v="IT Services"/>
    <m/>
    <x v="1"/>
  </r>
  <r>
    <s v="APP035"/>
    <x v="6"/>
    <x v="2"/>
    <x v="1"/>
    <n v="590000"/>
    <d v="2026-09-04T00:00:00"/>
    <x v="3"/>
    <x v="0"/>
    <x v="1"/>
    <s v="Fresher"/>
    <s v="B.Sc"/>
    <s v="Full Time"/>
    <s v="IT Services"/>
    <m/>
    <x v="1"/>
  </r>
  <r>
    <s v="APP036"/>
    <x v="7"/>
    <x v="3"/>
    <x v="0"/>
    <n v="720000"/>
    <d v="2026-09-05T00:00:00"/>
    <x v="2"/>
    <x v="1"/>
    <x v="0"/>
    <s v="1-2 Years"/>
    <s v="B.Tech"/>
    <s v="Full Time"/>
    <s v="Technology"/>
    <m/>
    <x v="1"/>
  </r>
  <r>
    <s v="APP037"/>
    <x v="8"/>
    <x v="1"/>
    <x v="2"/>
    <n v="680000"/>
    <d v="2026-09-06T00:00:00"/>
    <x v="0"/>
    <x v="2"/>
    <x v="2"/>
    <s v="0-1 Years"/>
    <s v="BCA"/>
    <s v="Full Time"/>
    <s v="Consulting"/>
    <m/>
    <x v="1"/>
  </r>
  <r>
    <s v="APP038"/>
    <x v="9"/>
    <x v="2"/>
    <x v="3"/>
    <n v="560000"/>
    <d v="2026-09-07T00:00:00"/>
    <x v="0"/>
    <x v="0"/>
    <x v="0"/>
    <s v="Fresher"/>
    <s v="B.Sc"/>
    <s v="Full Time"/>
    <s v="IT Services"/>
    <m/>
    <x v="1"/>
  </r>
  <r>
    <s v="APP039"/>
    <x v="10"/>
    <x v="0"/>
    <x v="1"/>
    <n v="610000"/>
    <d v="2026-09-08T00:00:00"/>
    <x v="1"/>
    <x v="3"/>
    <x v="1"/>
    <s v="0-1 Years"/>
    <s v="B.Tech"/>
    <s v="Full Time"/>
    <s v="Software"/>
    <m/>
    <x v="1"/>
  </r>
  <r>
    <s v="APP040"/>
    <x v="11"/>
    <x v="3"/>
    <x v="0"/>
    <n v="850000"/>
    <d v="2026-09-09T00:00:00"/>
    <x v="2"/>
    <x v="3"/>
    <x v="0"/>
    <s v="1-2 Years"/>
    <s v="B.Tech"/>
    <s v="Full Time"/>
    <s v="E-Commerce"/>
    <m/>
    <x v="1"/>
  </r>
  <r>
    <s v="APP041"/>
    <x v="12"/>
    <x v="1"/>
    <x v="2"/>
    <n v="780000"/>
    <d v="2026-09-10T00:00:00"/>
    <x v="0"/>
    <x v="0"/>
    <x v="2"/>
    <s v="0-1 Years"/>
    <s v="BCA"/>
    <s v="Full Time"/>
    <s v="Technology"/>
    <m/>
    <x v="1"/>
  </r>
  <r>
    <s v="APP042"/>
    <x v="13"/>
    <x v="2"/>
    <x v="1"/>
    <n v="690000"/>
    <d v="2026-09-11T00:00:00"/>
    <x v="3"/>
    <x v="1"/>
    <x v="0"/>
    <s v="Fresher"/>
    <s v="B.Sc"/>
    <s v="Full Time"/>
    <s v="Technology"/>
    <m/>
    <x v="1"/>
  </r>
  <r>
    <s v="APP043"/>
    <x v="0"/>
    <x v="3"/>
    <x v="0"/>
    <n v="750000"/>
    <d v="2026-09-12T00:00:00"/>
    <x v="1"/>
    <x v="2"/>
    <x v="0"/>
    <s v="1-2 Years"/>
    <s v="B.Tech"/>
    <s v="Full Time"/>
    <s v="Fintech"/>
    <m/>
    <x v="1"/>
  </r>
  <r>
    <s v="APP044"/>
    <x v="1"/>
    <x v="1"/>
    <x v="3"/>
    <n v="510000"/>
    <d v="2026-09-13T00:00:00"/>
    <x v="0"/>
    <x v="0"/>
    <x v="1"/>
    <s v="Fresher"/>
    <s v="BCA"/>
    <s v="Full Time"/>
    <s v="IT Services"/>
    <m/>
    <x v="1"/>
  </r>
  <r>
    <s v="APP045"/>
    <x v="2"/>
    <x v="0"/>
    <x v="2"/>
    <n v="670000"/>
    <d v="2026-09-14T00:00:00"/>
    <x v="2"/>
    <x v="1"/>
    <x v="0"/>
    <s v="0-1 Years"/>
    <s v="MCA"/>
    <s v="Full Time"/>
    <s v="Consulting"/>
    <m/>
    <x v="1"/>
  </r>
  <r>
    <s v="APP046"/>
    <x v="3"/>
    <x v="3"/>
    <x v="1"/>
    <n v="620000"/>
    <d v="2026-09-15T00:00:00"/>
    <x v="0"/>
    <x v="0"/>
    <x v="2"/>
    <s v="1-2 Years"/>
    <s v="B.Tech"/>
    <s v="Full Time"/>
    <s v="IT Services"/>
    <m/>
    <x v="1"/>
  </r>
  <r>
    <s v="APP047"/>
    <x v="4"/>
    <x v="2"/>
    <x v="0"/>
    <n v="610000"/>
    <d v="2026-09-16T00:00:00"/>
    <x v="3"/>
    <x v="1"/>
    <x v="0"/>
    <s v="Fresher"/>
    <s v="B.Sc"/>
    <s v="Full Time"/>
    <s v="IT Services"/>
    <m/>
    <x v="1"/>
  </r>
  <r>
    <s v="APP048"/>
    <x v="5"/>
    <x v="0"/>
    <x v="2"/>
    <n v="700000"/>
    <d v="2026-09-17T00:00:00"/>
    <x v="1"/>
    <x v="2"/>
    <x v="0"/>
    <s v="0-1 Years"/>
    <s v="B.Tech"/>
    <s v="Full Time"/>
    <s v="IT Services"/>
    <m/>
    <x v="1"/>
  </r>
  <r>
    <s v="APP049"/>
    <x v="6"/>
    <x v="1"/>
    <x v="1"/>
    <n v="580000"/>
    <d v="2026-09-18T00:00:00"/>
    <x v="0"/>
    <x v="0"/>
    <x v="1"/>
    <s v="Fresher"/>
    <s v="BCA"/>
    <s v="Full Time"/>
    <s v="IT Services"/>
    <m/>
    <x v="1"/>
  </r>
  <r>
    <s v="APP050"/>
    <x v="8"/>
    <x v="2"/>
    <x v="0"/>
    <n v="730000"/>
    <d v="2026-09-19T00:00:00"/>
    <x v="4"/>
    <x v="2"/>
    <x v="0"/>
    <s v="1-2 Years"/>
    <s v="MCA"/>
    <s v="Full Time"/>
    <s v="Consulting"/>
    <m/>
    <x v="1"/>
  </r>
  <r>
    <s v="APP051"/>
    <x v="14"/>
    <x v="0"/>
    <x v="2"/>
    <n v="760000"/>
    <d v="2026-02-01T00:00:00"/>
    <x v="0"/>
    <x v="0"/>
    <x v="0"/>
    <s v="0-1 Years"/>
    <s v="B.Tech"/>
    <s v="Full Time"/>
    <s v="Fintech"/>
    <m/>
    <x v="2"/>
  </r>
  <r>
    <s v="APP052"/>
    <x v="15"/>
    <x v="2"/>
    <x v="0"/>
    <n v="680000"/>
    <d v="2026-02-03T00:00:00"/>
    <x v="1"/>
    <x v="1"/>
    <x v="2"/>
    <s v="1-2 Years"/>
    <s v="B.Sc"/>
    <s v="Full Time"/>
    <s v="Banking"/>
    <m/>
    <x v="2"/>
  </r>
  <r>
    <s v="APP053"/>
    <x v="16"/>
    <x v="3"/>
    <x v="4"/>
    <n v="850000"/>
    <d v="2026-02-05T00:00:00"/>
    <x v="2"/>
    <x v="2"/>
    <x v="0"/>
    <s v="1-2 Years"/>
    <s v="B.Tech"/>
    <s v="Full Time"/>
    <s v="Banking"/>
    <m/>
    <x v="2"/>
  </r>
  <r>
    <s v="APP054"/>
    <x v="17"/>
    <x v="1"/>
    <x v="5"/>
    <n v="600000"/>
    <d v="2026-02-07T00:00:00"/>
    <x v="3"/>
    <x v="0"/>
    <x v="1"/>
    <s v="Fresher"/>
    <s v="BCA"/>
    <s v="Full Time"/>
    <s v="Banking"/>
    <m/>
    <x v="2"/>
  </r>
  <r>
    <s v="APP055"/>
    <x v="18"/>
    <x v="2"/>
    <x v="6"/>
    <n v="720000"/>
    <d v="2026-02-09T00:00:00"/>
    <x v="0"/>
    <x v="1"/>
    <x v="0"/>
    <s v="0-1 Years"/>
    <s v="B.Sc"/>
    <s v="Full Time"/>
    <s v="Fintech"/>
    <m/>
    <x v="2"/>
  </r>
  <r>
    <s v="APP056"/>
    <x v="19"/>
    <x v="4"/>
    <x v="2"/>
    <n v="700000"/>
    <d v="2026-02-11T00:00:00"/>
    <x v="1"/>
    <x v="2"/>
    <x v="2"/>
    <s v="1-2 Years"/>
    <s v="MCA"/>
    <s v="Full Time"/>
    <s v="Fintech"/>
    <m/>
    <x v="2"/>
  </r>
  <r>
    <s v="APP057"/>
    <x v="14"/>
    <x v="1"/>
    <x v="0"/>
    <n v="650000"/>
    <d v="2026-02-13T00:00:00"/>
    <x v="2"/>
    <x v="0"/>
    <x v="0"/>
    <s v="Fresher"/>
    <s v="BCA"/>
    <s v="Full Time"/>
    <s v="Fintech"/>
    <m/>
    <x v="2"/>
  </r>
  <r>
    <s v="APP058"/>
    <x v="15"/>
    <x v="5"/>
    <x v="1"/>
    <n v="700000"/>
    <d v="2026-02-15T00:00:00"/>
    <x v="0"/>
    <x v="1"/>
    <x v="1"/>
    <s v="0-1 Years"/>
    <s v="B.Tech"/>
    <s v="Full Time"/>
    <s v="Banking"/>
    <m/>
    <x v="2"/>
  </r>
  <r>
    <s v="APP059"/>
    <x v="16"/>
    <x v="6"/>
    <x v="4"/>
    <n v="680000"/>
    <d v="2026-02-17T00:00:00"/>
    <x v="3"/>
    <x v="4"/>
    <x v="0"/>
    <s v="1-2 Years"/>
    <s v="B.Sc"/>
    <s v="Full Time"/>
    <s v="Banking"/>
    <m/>
    <x v="2"/>
  </r>
  <r>
    <s v="APP060"/>
    <x v="17"/>
    <x v="7"/>
    <x v="3"/>
    <n v="620000"/>
    <d v="2026-02-19T00:00:00"/>
    <x v="2"/>
    <x v="0"/>
    <x v="2"/>
    <s v="Fresher"/>
    <s v="BCA"/>
    <s v="Full Time"/>
    <s v="Banking"/>
    <m/>
    <x v="2"/>
  </r>
  <r>
    <s v="APP061"/>
    <x v="18"/>
    <x v="8"/>
    <x v="1"/>
    <n v="520000"/>
    <d v="2026-02-21T00:00:00"/>
    <x v="0"/>
    <x v="1"/>
    <x v="1"/>
    <s v="0-1 Years"/>
    <s v="BCA"/>
    <s v="Full Time"/>
    <s v="Fintech"/>
    <m/>
    <x v="2"/>
  </r>
  <r>
    <s v="APP062"/>
    <x v="19"/>
    <x v="9"/>
    <x v="0"/>
    <n v="580000"/>
    <d v="2026-02-23T00:00:00"/>
    <x v="1"/>
    <x v="2"/>
    <x v="0"/>
    <s v="Fresher"/>
    <s v="B.Sc"/>
    <s v="Full Time"/>
    <s v="Fintech"/>
    <m/>
    <x v="2"/>
  </r>
  <r>
    <s v="APP063"/>
    <x v="14"/>
    <x v="3"/>
    <x v="2"/>
    <n v="820000"/>
    <d v="2026-02-25T00:00:00"/>
    <x v="2"/>
    <x v="3"/>
    <x v="2"/>
    <s v="1-2 Years"/>
    <s v="B.Tech"/>
    <s v="Full Time"/>
    <s v="Fintech"/>
    <m/>
    <x v="2"/>
  </r>
  <r>
    <s v="APP064"/>
    <x v="15"/>
    <x v="1"/>
    <x v="5"/>
    <n v="620000"/>
    <d v="2026-02-27T00:00:00"/>
    <x v="3"/>
    <x v="0"/>
    <x v="1"/>
    <s v="0-1 Years"/>
    <s v="BCA"/>
    <s v="Full Time"/>
    <s v="Banking"/>
    <m/>
    <x v="2"/>
  </r>
  <r>
    <s v="APP065"/>
    <x v="16"/>
    <x v="2"/>
    <x v="4"/>
    <n v="760000"/>
    <d v="2026-03-01T00:00:00"/>
    <x v="0"/>
    <x v="1"/>
    <x v="0"/>
    <s v="1-2 Years"/>
    <s v="MCA"/>
    <s v="Full Time"/>
    <s v="Banking"/>
    <m/>
    <x v="3"/>
  </r>
  <r>
    <s v="APP066"/>
    <x v="17"/>
    <x v="0"/>
    <x v="6"/>
    <n v="680000"/>
    <d v="2026-03-03T00:00:00"/>
    <x v="1"/>
    <x v="2"/>
    <x v="0"/>
    <s v="Fresher"/>
    <s v="B.Tech"/>
    <s v="Full Time"/>
    <s v="Banking"/>
    <m/>
    <x v="3"/>
  </r>
  <r>
    <s v="APP067"/>
    <x v="18"/>
    <x v="5"/>
    <x v="2"/>
    <n v="740000"/>
    <d v="2026-03-05T00:00:00"/>
    <x v="2"/>
    <x v="0"/>
    <x v="2"/>
    <s v="0-1 Years"/>
    <s v="B.Sc"/>
    <s v="Full Time"/>
    <s v="Fintech"/>
    <m/>
    <x v="3"/>
  </r>
  <r>
    <s v="APP068"/>
    <x v="19"/>
    <x v="1"/>
    <x v="0"/>
    <n v="650000"/>
    <d v="2026-03-07T00:00:00"/>
    <x v="0"/>
    <x v="3"/>
    <x v="0"/>
    <s v="Fresher"/>
    <s v="BCA"/>
    <s v="Full Time"/>
    <s v="Fintech"/>
    <m/>
    <x v="3"/>
  </r>
  <r>
    <s v="APP069"/>
    <x v="14"/>
    <x v="4"/>
    <x v="1"/>
    <n v="680000"/>
    <d v="2026-03-09T00:00:00"/>
    <x v="4"/>
    <x v="2"/>
    <x v="1"/>
    <s v="1-2 Years"/>
    <s v="B.Tech"/>
    <s v="Full Time"/>
    <s v="Fintech"/>
    <m/>
    <x v="3"/>
  </r>
  <r>
    <s v="APP070"/>
    <x v="15"/>
    <x v="6"/>
    <x v="3"/>
    <n v="600000"/>
    <d v="2026-03-11T00:00:00"/>
    <x v="0"/>
    <x v="1"/>
    <x v="0"/>
    <s v="0-1 Years"/>
    <s v="B.Sc"/>
    <s v="Full Time"/>
    <s v="Banking"/>
    <m/>
    <x v="3"/>
  </r>
  <r>
    <s v="APP071"/>
    <x v="16"/>
    <x v="3"/>
    <x v="2"/>
    <n v="900000"/>
    <d v="2026-03-13T00:00:00"/>
    <x v="1"/>
    <x v="0"/>
    <x v="2"/>
    <s v="1-2 Years"/>
    <s v="B.Tech"/>
    <s v="Full Time"/>
    <s v="Banking"/>
    <m/>
    <x v="3"/>
  </r>
  <r>
    <s v="APP072"/>
    <x v="17"/>
    <x v="2"/>
    <x v="5"/>
    <n v="670000"/>
    <d v="2026-03-15T00:00:00"/>
    <x v="3"/>
    <x v="1"/>
    <x v="1"/>
    <s v="Fresher"/>
    <s v="MCA"/>
    <s v="Full Time"/>
    <s v="Banking"/>
    <m/>
    <x v="3"/>
  </r>
  <r>
    <s v="APP073"/>
    <x v="18"/>
    <x v="0"/>
    <x v="0"/>
    <n v="720000"/>
    <d v="2026-03-17T00:00:00"/>
    <x v="2"/>
    <x v="2"/>
    <x v="0"/>
    <s v="0-1 Years"/>
    <s v="B.Tech"/>
    <s v="Full Time"/>
    <s v="Fintech"/>
    <m/>
    <x v="3"/>
  </r>
  <r>
    <s v="APP074"/>
    <x v="19"/>
    <x v="1"/>
    <x v="4"/>
    <n v="640000"/>
    <d v="2026-03-19T00:00:00"/>
    <x v="0"/>
    <x v="0"/>
    <x v="0"/>
    <s v="1-2 Years"/>
    <s v="BCA"/>
    <s v="Full Time"/>
    <s v="Fintech"/>
    <m/>
    <x v="3"/>
  </r>
  <r>
    <s v="APP075"/>
    <x v="14"/>
    <x v="2"/>
    <x v="2"/>
    <n v="750000"/>
    <d v="2026-03-21T00:00:00"/>
    <x v="1"/>
    <x v="3"/>
    <x v="2"/>
    <s v="Fresher"/>
    <s v="B.Sc"/>
    <s v="Full Time"/>
    <s v="Fintech"/>
    <m/>
    <x v="3"/>
  </r>
  <r>
    <s v="APP076"/>
    <x v="15"/>
    <x v="3"/>
    <x v="1"/>
    <n v="780000"/>
    <d v="2026-03-23T00:00:00"/>
    <x v="2"/>
    <x v="1"/>
    <x v="1"/>
    <s v="1-2 Years"/>
    <s v="B.Tech"/>
    <s v="Full Time"/>
    <s v="Banking"/>
    <m/>
    <x v="3"/>
  </r>
  <r>
    <s v="APP077"/>
    <x v="16"/>
    <x v="5"/>
    <x v="0"/>
    <n v="800000"/>
    <d v="2026-03-25T00:00:00"/>
    <x v="0"/>
    <x v="2"/>
    <x v="0"/>
    <s v="0-1 Years"/>
    <s v="MCA"/>
    <s v="Full Time"/>
    <s v="Banking"/>
    <m/>
    <x v="3"/>
  </r>
  <r>
    <s v="APP078"/>
    <x v="17"/>
    <x v="4"/>
    <x v="3"/>
    <n v="650000"/>
    <d v="2026-03-27T00:00:00"/>
    <x v="3"/>
    <x v="0"/>
    <x v="0"/>
    <s v="Fresher"/>
    <s v="B.Tech"/>
    <s v="Full Time"/>
    <s v="Banking"/>
    <m/>
    <x v="3"/>
  </r>
  <r>
    <s v="APP079"/>
    <x v="18"/>
    <x v="1"/>
    <x v="2"/>
    <n v="690000"/>
    <d v="2026-03-29T00:00:00"/>
    <x v="0"/>
    <x v="1"/>
    <x v="2"/>
    <s v="0-1 Years"/>
    <s v="BCA"/>
    <s v="Full Time"/>
    <s v="Fintech"/>
    <m/>
    <x v="3"/>
  </r>
  <r>
    <s v="APP080"/>
    <x v="19"/>
    <x v="0"/>
    <x v="0"/>
    <n v="730000"/>
    <d v="2026-03-31T00:00:00"/>
    <x v="1"/>
    <x v="3"/>
    <x v="0"/>
    <s v="1-2 Years"/>
    <s v="B.Tech"/>
    <s v="Full Time"/>
    <s v="Fintech"/>
    <m/>
    <x v="3"/>
  </r>
  <r>
    <s v="APP081"/>
    <x v="11"/>
    <x v="6"/>
    <x v="1"/>
    <n v="680000"/>
    <d v="2026-04-02T00:00:00"/>
    <x v="2"/>
    <x v="0"/>
    <x v="1"/>
    <s v="Fresher"/>
    <s v="B.Sc"/>
    <s v="Full Time"/>
    <s v="E-Commerce"/>
    <m/>
    <x v="4"/>
  </r>
  <r>
    <s v="APP082"/>
    <x v="12"/>
    <x v="2"/>
    <x v="2"/>
    <n v="820000"/>
    <d v="2026-04-04T00:00:00"/>
    <x v="0"/>
    <x v="2"/>
    <x v="0"/>
    <s v="1-2 Years"/>
    <s v="MCA"/>
    <s v="Full Time"/>
    <s v="Technology"/>
    <m/>
    <x v="4"/>
  </r>
  <r>
    <s v="APP083"/>
    <x v="13"/>
    <x v="3"/>
    <x v="3"/>
    <n v="800000"/>
    <d v="2026-04-06T00:00:00"/>
    <x v="1"/>
    <x v="1"/>
    <x v="2"/>
    <s v="0-1 Years"/>
    <s v="B.Tech"/>
    <s v="Full Time"/>
    <s v="Technology"/>
    <m/>
    <x v="4"/>
  </r>
  <r>
    <s v="APP084"/>
    <x v="10"/>
    <x v="1"/>
    <x v="1"/>
    <n v="590000"/>
    <d v="2026-04-08T00:00:00"/>
    <x v="3"/>
    <x v="3"/>
    <x v="0"/>
    <s v="Fresher"/>
    <s v="BCA"/>
    <s v="Full Time"/>
    <s v="Software"/>
    <m/>
    <x v="4"/>
  </r>
  <r>
    <s v="APP085"/>
    <x v="0"/>
    <x v="2"/>
    <x v="0"/>
    <n v="690000"/>
    <d v="2026-04-10T00:00:00"/>
    <x v="2"/>
    <x v="0"/>
    <x v="0"/>
    <s v="0-1 Years"/>
    <s v="B.Sc"/>
    <s v="Full Time"/>
    <s v="Fintech"/>
    <m/>
    <x v="4"/>
  </r>
  <r>
    <s v="APP086"/>
    <x v="1"/>
    <x v="5"/>
    <x v="2"/>
    <n v="650000"/>
    <d v="2026-04-12T00:00:00"/>
    <x v="0"/>
    <x v="1"/>
    <x v="2"/>
    <s v="1-2 Years"/>
    <s v="B.Tech"/>
    <s v="Full Time"/>
    <s v="IT Services"/>
    <m/>
    <x v="4"/>
  </r>
  <r>
    <s v="APP087"/>
    <x v="2"/>
    <x v="4"/>
    <x v="5"/>
    <n v="720000"/>
    <d v="2026-04-14T00:00:00"/>
    <x v="1"/>
    <x v="2"/>
    <x v="0"/>
    <s v="Fresher"/>
    <s v="MCA"/>
    <s v="Full Time"/>
    <s v="Consulting"/>
    <m/>
    <x v="4"/>
  </r>
  <r>
    <s v="APP088"/>
    <x v="20"/>
    <x v="6"/>
    <x v="6"/>
    <n v="580000"/>
    <d v="2026-04-16T00:00:00"/>
    <x v="3"/>
    <x v="0"/>
    <x v="1"/>
    <s v="0-1 Years"/>
    <s v="B.Sc"/>
    <s v="Full Time"/>
    <e v="#N/A"/>
    <m/>
    <x v="4"/>
  </r>
  <r>
    <s v="APP089"/>
    <x v="4"/>
    <x v="3"/>
    <x v="1"/>
    <n v="670000"/>
    <d v="2026-04-18T00:00:00"/>
    <x v="0"/>
    <x v="4"/>
    <x v="0"/>
    <s v="1-2 Years"/>
    <s v="B.Tech"/>
    <s v="Full Time"/>
    <s v="IT Services"/>
    <m/>
    <x v="4"/>
  </r>
  <r>
    <s v="APP090"/>
    <x v="5"/>
    <x v="7"/>
    <x v="3"/>
    <n v="640000"/>
    <d v="2026-04-20T00:00:00"/>
    <x v="2"/>
    <x v="1"/>
    <x v="2"/>
    <s v="Fresher"/>
    <s v="BCA"/>
    <s v="Full Time"/>
    <s v="IT Services"/>
    <m/>
    <x v="4"/>
  </r>
  <r>
    <s v="APP091"/>
    <x v="6"/>
    <x v="8"/>
    <x v="0"/>
    <n v="500000"/>
    <d v="2026-04-22T00:00:00"/>
    <x v="0"/>
    <x v="0"/>
    <x v="0"/>
    <s v="Fresher"/>
    <s v="BCA"/>
    <s v="Full Time"/>
    <s v="IT Services"/>
    <m/>
    <x v="4"/>
  </r>
  <r>
    <s v="APP092"/>
    <x v="7"/>
    <x v="9"/>
    <x v="2"/>
    <n v="590000"/>
    <d v="2026-04-24T00:00:00"/>
    <x v="1"/>
    <x v="2"/>
    <x v="2"/>
    <s v="0-1 Years"/>
    <s v="B.Sc"/>
    <s v="Full Time"/>
    <s v="Technology"/>
    <m/>
    <x v="4"/>
  </r>
  <r>
    <s v="APP093"/>
    <x v="8"/>
    <x v="0"/>
    <x v="1"/>
    <n v="710000"/>
    <d v="2026-04-26T00:00:00"/>
    <x v="2"/>
    <x v="1"/>
    <x v="1"/>
    <s v="1-2 Years"/>
    <s v="MCA"/>
    <s v="Full Time"/>
    <s v="Consulting"/>
    <m/>
    <x v="4"/>
  </r>
  <r>
    <s v="APP094"/>
    <x v="9"/>
    <x v="1"/>
    <x v="3"/>
    <n v="560000"/>
    <d v="2026-04-28T00:00:00"/>
    <x v="3"/>
    <x v="0"/>
    <x v="0"/>
    <s v="Fresher"/>
    <s v="BCA"/>
    <s v="Full Time"/>
    <s v="IT Services"/>
    <m/>
    <x v="4"/>
  </r>
  <r>
    <s v="APP095"/>
    <x v="11"/>
    <x v="2"/>
    <x v="0"/>
    <n v="790000"/>
    <d v="2026-04-30T00:00:00"/>
    <x v="0"/>
    <x v="3"/>
    <x v="0"/>
    <s v="1-2 Years"/>
    <s v="B.Sc"/>
    <s v="Full Time"/>
    <s v="E-Commerce"/>
    <m/>
    <x v="4"/>
  </r>
  <r>
    <s v="APP096"/>
    <x v="12"/>
    <x v="3"/>
    <x v="2"/>
    <n v="880000"/>
    <d v="2026-05-02T00:00:00"/>
    <x v="1"/>
    <x v="0"/>
    <x v="2"/>
    <s v="1-2 Years"/>
    <s v="B.Tech"/>
    <s v="Full Time"/>
    <s v="Technology"/>
    <m/>
    <x v="5"/>
  </r>
  <r>
    <s v="APP097"/>
    <x v="13"/>
    <x v="1"/>
    <x v="1"/>
    <n v="670000"/>
    <d v="2026-05-04T00:00:00"/>
    <x v="2"/>
    <x v="1"/>
    <x v="1"/>
    <s v="0-1 Years"/>
    <s v="BCA"/>
    <s v="Full Time"/>
    <s v="Technology"/>
    <m/>
    <x v="5"/>
  </r>
  <r>
    <s v="APP098"/>
    <x v="10"/>
    <x v="2"/>
    <x v="0"/>
    <n v="610000"/>
    <d v="2026-05-06T00:00:00"/>
    <x v="0"/>
    <x v="3"/>
    <x v="0"/>
    <s v="Fresher"/>
    <s v="B.Sc"/>
    <s v="Full Time"/>
    <s v="Software"/>
    <m/>
    <x v="5"/>
  </r>
  <r>
    <s v="APP099"/>
    <x v="0"/>
    <x v="5"/>
    <x v="2"/>
    <n v="700000"/>
    <d v="2026-05-08T00:00:00"/>
    <x v="3"/>
    <x v="2"/>
    <x v="2"/>
    <s v="1-2 Years"/>
    <s v="MCA"/>
    <s v="Full Time"/>
    <s v="Fintech"/>
    <m/>
    <x v="5"/>
  </r>
  <r>
    <s v="APP100"/>
    <x v="1"/>
    <x v="4"/>
    <x v="3"/>
    <n v="620000"/>
    <d v="2026-05-10T00:00:00"/>
    <x v="4"/>
    <x v="0"/>
    <x v="0"/>
    <s v="0-1 Years"/>
    <s v="B.Tech"/>
    <s v="Full Time"/>
    <s v="IT Services"/>
    <m/>
    <x v="5"/>
  </r>
  <r>
    <s v="APP101"/>
    <x v="2"/>
    <x v="2"/>
    <x v="0"/>
    <n v="630000"/>
    <d v="2026-05-12T00:00:00"/>
    <x v="0"/>
    <x v="0"/>
    <x v="0"/>
    <s v="Fresher"/>
    <s v="B.Sc"/>
    <s v="Full Time"/>
    <s v="Consulting"/>
    <m/>
    <x v="5"/>
  </r>
  <r>
    <s v="APP102"/>
    <x v="3"/>
    <x v="1"/>
    <x v="1"/>
    <n v="570000"/>
    <d v="2026-05-14T00:00:00"/>
    <x v="1"/>
    <x v="1"/>
    <x v="1"/>
    <s v="0-1 Years"/>
    <s v="BCA"/>
    <s v="Full Time"/>
    <s v="IT Services"/>
    <m/>
    <x v="5"/>
  </r>
  <r>
    <s v="APP103"/>
    <x v="4"/>
    <x v="3"/>
    <x v="2"/>
    <n v="680000"/>
    <d v="2026-05-16T00:00:00"/>
    <x v="2"/>
    <x v="2"/>
    <x v="2"/>
    <s v="1-2 Years"/>
    <s v="B.Tech"/>
    <s v="Full Time"/>
    <s v="IT Services"/>
    <m/>
    <x v="5"/>
  </r>
  <r>
    <s v="APP104"/>
    <x v="5"/>
    <x v="2"/>
    <x v="3"/>
    <n v="620000"/>
    <d v="2026-05-18T00:00:00"/>
    <x v="3"/>
    <x v="0"/>
    <x v="0"/>
    <s v="Fresher"/>
    <s v="B.Sc"/>
    <s v="Full Time"/>
    <s v="IT Services"/>
    <m/>
    <x v="5"/>
  </r>
  <r>
    <s v="APP105"/>
    <x v="6"/>
    <x v="0"/>
    <x v="0"/>
    <n v="640000"/>
    <d v="2026-05-20T00:00:00"/>
    <x v="0"/>
    <x v="1"/>
    <x v="0"/>
    <s v="0-1 Years"/>
    <s v="B.Tech"/>
    <s v="Full Time"/>
    <s v="IT Services"/>
    <m/>
    <x v="5"/>
  </r>
  <r>
    <s v="APP106"/>
    <x v="7"/>
    <x v="1"/>
    <x v="1"/>
    <n v="600000"/>
    <d v="2026-05-22T00:00:00"/>
    <x v="2"/>
    <x v="2"/>
    <x v="1"/>
    <s v="1-2 Years"/>
    <s v="BCA"/>
    <s v="Full Time"/>
    <s v="Technology"/>
    <m/>
    <x v="5"/>
  </r>
  <r>
    <s v="APP107"/>
    <x v="8"/>
    <x v="5"/>
    <x v="2"/>
    <n v="730000"/>
    <d v="2026-05-24T00:00:00"/>
    <x v="1"/>
    <x v="0"/>
    <x v="2"/>
    <s v="1-2 Years"/>
    <s v="MCA"/>
    <s v="Full Time"/>
    <s v="Consulting"/>
    <m/>
    <x v="5"/>
  </r>
  <r>
    <s v="APP108"/>
    <x v="9"/>
    <x v="6"/>
    <x v="3"/>
    <n v="570000"/>
    <d v="2026-05-26T00:00:00"/>
    <x v="0"/>
    <x v="1"/>
    <x v="0"/>
    <s v="Fresher"/>
    <s v="B.Sc"/>
    <s v="Full Time"/>
    <s v="IT Services"/>
    <m/>
    <x v="5"/>
  </r>
  <r>
    <s v="APP109"/>
    <x v="10"/>
    <x v="3"/>
    <x v="0"/>
    <n v="690000"/>
    <d v="2026-05-28T00:00:00"/>
    <x v="3"/>
    <x v="3"/>
    <x v="0"/>
    <s v="0-1 Years"/>
    <s v="B.Tech"/>
    <s v="Full Time"/>
    <s v="Software"/>
    <m/>
    <x v="5"/>
  </r>
  <r>
    <s v="APP110"/>
    <x v="11"/>
    <x v="0"/>
    <x v="2"/>
    <n v="780000"/>
    <d v="2026-05-30T00:00:00"/>
    <x v="2"/>
    <x v="0"/>
    <x v="2"/>
    <s v="1-2 Years"/>
    <s v="MCA"/>
    <s v="Full Time"/>
    <s v="E-Commerce"/>
    <m/>
    <x v="5"/>
  </r>
  <r>
    <s v="APP111"/>
    <x v="12"/>
    <x v="2"/>
    <x v="1"/>
    <n v="790000"/>
    <d v="2026-06-01T00:00:00"/>
    <x v="0"/>
    <x v="3"/>
    <x v="0"/>
    <s v="Fresher"/>
    <s v="B.Sc"/>
    <s v="Full Time"/>
    <s v="Technology"/>
    <m/>
    <x v="6"/>
  </r>
  <r>
    <s v="APP112"/>
    <x v="13"/>
    <x v="1"/>
    <x v="0"/>
    <n v="700000"/>
    <d v="2026-06-03T00:00:00"/>
    <x v="1"/>
    <x v="1"/>
    <x v="0"/>
    <s v="0-1 Years"/>
    <s v="BCA"/>
    <s v="Full Time"/>
    <s v="Technology"/>
    <m/>
    <x v="6"/>
  </r>
  <r>
    <s v="APP113"/>
    <x v="0"/>
    <x v="3"/>
    <x v="3"/>
    <n v="740000"/>
    <d v="2026-06-05T00:00:00"/>
    <x v="2"/>
    <x v="2"/>
    <x v="2"/>
    <s v="1-2 Years"/>
    <s v="B.Tech"/>
    <s v="Full Time"/>
    <s v="Fintech"/>
    <m/>
    <x v="6"/>
  </r>
  <r>
    <s v="APP114"/>
    <x v="1"/>
    <x v="2"/>
    <x v="2"/>
    <n v="590000"/>
    <d v="2026-06-07T00:00:00"/>
    <x v="3"/>
    <x v="0"/>
    <x v="1"/>
    <s v="Fresher"/>
    <s v="B.Sc"/>
    <s v="Full Time"/>
    <s v="IT Services"/>
    <m/>
    <x v="6"/>
  </r>
  <r>
    <s v="APP115"/>
    <x v="2"/>
    <x v="0"/>
    <x v="0"/>
    <n v="690000"/>
    <d v="2026-06-09T00:00:00"/>
    <x v="0"/>
    <x v="1"/>
    <x v="0"/>
    <s v="0-1 Years"/>
    <s v="B.Tech"/>
    <s v="Full Time"/>
    <s v="Consulting"/>
    <m/>
    <x v="6"/>
  </r>
  <r>
    <s v="APP116"/>
    <x v="3"/>
    <x v="3"/>
    <x v="1"/>
    <n v="610000"/>
    <d v="2026-06-11T00:00:00"/>
    <x v="1"/>
    <x v="0"/>
    <x v="1"/>
    <s v="1-2 Years"/>
    <s v="B.Tech"/>
    <s v="Full Time"/>
    <s v="IT Services"/>
    <m/>
    <x v="6"/>
  </r>
  <r>
    <s v="APP117"/>
    <x v="4"/>
    <x v="1"/>
    <x v="2"/>
    <n v="560000"/>
    <d v="2026-06-13T00:00:00"/>
    <x v="2"/>
    <x v="2"/>
    <x v="2"/>
    <s v="Fresher"/>
    <s v="BCA"/>
    <s v="Full Time"/>
    <s v="IT Services"/>
    <m/>
    <x v="6"/>
  </r>
  <r>
    <s v="APP118"/>
    <x v="5"/>
    <x v="2"/>
    <x v="0"/>
    <n v="640000"/>
    <d v="2026-06-15T00:00:00"/>
    <x v="0"/>
    <x v="1"/>
    <x v="0"/>
    <s v="0-1 Years"/>
    <s v="B.Sc"/>
    <s v="Full Time"/>
    <s v="IT Services"/>
    <m/>
    <x v="6"/>
  </r>
  <r>
    <s v="APP119"/>
    <x v="6"/>
    <x v="3"/>
    <x v="3"/>
    <n v="700000"/>
    <d v="2026-06-17T00:00:00"/>
    <x v="3"/>
    <x v="0"/>
    <x v="1"/>
    <s v="1-2 Years"/>
    <s v="B.Tech"/>
    <s v="Full Time"/>
    <s v="IT Services"/>
    <m/>
    <x v="6"/>
  </r>
  <r>
    <s v="APP120"/>
    <x v="7"/>
    <x v="0"/>
    <x v="1"/>
    <n v="670000"/>
    <d v="2026-06-19T00:00:00"/>
    <x v="1"/>
    <x v="2"/>
    <x v="0"/>
    <s v="Fresher"/>
    <s v="MCA"/>
    <s v="Full Time"/>
    <s v="Technology"/>
    <m/>
    <x v="6"/>
  </r>
  <r>
    <s v="APP121"/>
    <x v="8"/>
    <x v="1"/>
    <x v="2"/>
    <n v="710000"/>
    <d v="2026-06-21T00:00:00"/>
    <x v="2"/>
    <x v="1"/>
    <x v="2"/>
    <s v="0-1 Years"/>
    <s v="BCA"/>
    <s v="Full Time"/>
    <s v="Consulting"/>
    <m/>
    <x v="6"/>
  </r>
  <r>
    <s v="APP122"/>
    <x v="9"/>
    <x v="2"/>
    <x v="0"/>
    <n v="580000"/>
    <d v="2026-06-23T00:00:00"/>
    <x v="0"/>
    <x v="0"/>
    <x v="0"/>
    <s v="Fresher"/>
    <s v="B.Sc"/>
    <s v="Full Time"/>
    <s v="IT Services"/>
    <m/>
    <x v="6"/>
  </r>
  <r>
    <s v="APP123"/>
    <x v="10"/>
    <x v="6"/>
    <x v="1"/>
    <n v="540000"/>
    <d v="2026-06-25T00:00:00"/>
    <x v="3"/>
    <x v="3"/>
    <x v="1"/>
    <s v="0-1 Years"/>
    <s v="B.Tech"/>
    <s v="Full Time"/>
    <s v="Software"/>
    <m/>
    <x v="6"/>
  </r>
  <r>
    <s v="APP124"/>
    <x v="11"/>
    <x v="3"/>
    <x v="2"/>
    <n v="860000"/>
    <d v="2026-06-27T00:00:00"/>
    <x v="1"/>
    <x v="0"/>
    <x v="2"/>
    <s v="1-2 Years"/>
    <s v="B.Tech"/>
    <s v="Full Time"/>
    <s v="E-Commerce"/>
    <m/>
    <x v="6"/>
  </r>
  <r>
    <s v="APP125"/>
    <x v="12"/>
    <x v="1"/>
    <x v="0"/>
    <n v="810000"/>
    <d v="2026-06-29T00:00:00"/>
    <x v="2"/>
    <x v="3"/>
    <x v="0"/>
    <s v="1-2 Years"/>
    <s v="BCA"/>
    <s v="Full Time"/>
    <s v="Technology"/>
    <m/>
    <x v="6"/>
  </r>
  <r>
    <s v="APP126"/>
    <x v="13"/>
    <x v="2"/>
    <x v="3"/>
    <n v="720000"/>
    <d v="2026-07-01T00:00:00"/>
    <x v="0"/>
    <x v="1"/>
    <x v="0"/>
    <s v="Fresher"/>
    <s v="B.Sc"/>
    <s v="Full Time"/>
    <s v="Technology"/>
    <m/>
    <x v="7"/>
  </r>
  <r>
    <s v="APP127"/>
    <x v="0"/>
    <x v="0"/>
    <x v="2"/>
    <n v="730000"/>
    <d v="2026-07-03T00:00:00"/>
    <x v="1"/>
    <x v="2"/>
    <x v="2"/>
    <s v="0-1 Years"/>
    <s v="B.Tech"/>
    <s v="Full Time"/>
    <s v="Fintech"/>
    <m/>
    <x v="7"/>
  </r>
  <r>
    <s v="APP128"/>
    <x v="1"/>
    <x v="3"/>
    <x v="1"/>
    <n v="640000"/>
    <d v="2026-07-05T00:00:00"/>
    <x v="3"/>
    <x v="0"/>
    <x v="1"/>
    <s v="1-2 Years"/>
    <s v="B.Tech"/>
    <s v="Full Time"/>
    <s v="IT Services"/>
    <m/>
    <x v="7"/>
  </r>
  <r>
    <s v="APP129"/>
    <x v="2"/>
    <x v="1"/>
    <x v="0"/>
    <n v="660000"/>
    <d v="2026-07-07T00:00:00"/>
    <x v="0"/>
    <x v="1"/>
    <x v="0"/>
    <s v="Fresher"/>
    <s v="BCA"/>
    <s v="Full Time"/>
    <s v="Consulting"/>
    <m/>
    <x v="7"/>
  </r>
  <r>
    <s v="APP130"/>
    <x v="3"/>
    <x v="2"/>
    <x v="2"/>
    <n v="600000"/>
    <d v="2026-07-09T00:00:00"/>
    <x v="2"/>
    <x v="0"/>
    <x v="2"/>
    <s v="0-1 Years"/>
    <s v="B.Sc"/>
    <s v="Full Time"/>
    <s v="IT Services"/>
    <m/>
    <x v="7"/>
  </r>
  <r>
    <s v="APP131"/>
    <x v="4"/>
    <x v="0"/>
    <x v="3"/>
    <n v="630000"/>
    <d v="2026-07-11T00:00:00"/>
    <x v="1"/>
    <x v="2"/>
    <x v="0"/>
    <s v="1-2 Years"/>
    <s v="B.Tech"/>
    <s v="Full Time"/>
    <s v="IT Services"/>
    <m/>
    <x v="7"/>
  </r>
  <r>
    <s v="APP132"/>
    <x v="5"/>
    <x v="1"/>
    <x v="1"/>
    <n v="590000"/>
    <d v="2026-07-13T00:00:00"/>
    <x v="0"/>
    <x v="1"/>
    <x v="1"/>
    <s v="Fresher"/>
    <s v="BCA"/>
    <s v="Full Time"/>
    <s v="IT Services"/>
    <m/>
    <x v="7"/>
  </r>
  <r>
    <s v="APP133"/>
    <x v="6"/>
    <x v="2"/>
    <x v="0"/>
    <n v="610000"/>
    <d v="2026-07-15T00:00:00"/>
    <x v="3"/>
    <x v="0"/>
    <x v="0"/>
    <s v="0-1 Years"/>
    <s v="B.Sc"/>
    <s v="Full Time"/>
    <s v="IT Services"/>
    <m/>
    <x v="7"/>
  </r>
  <r>
    <s v="APP134"/>
    <x v="7"/>
    <x v="3"/>
    <x v="2"/>
    <n v="760000"/>
    <d v="2026-07-17T00:00:00"/>
    <x v="2"/>
    <x v="2"/>
    <x v="2"/>
    <s v="1-2 Years"/>
    <s v="B.Tech"/>
    <s v="Full Time"/>
    <s v="Technology"/>
    <m/>
    <x v="7"/>
  </r>
  <r>
    <s v="APP135"/>
    <x v="8"/>
    <x v="0"/>
    <x v="1"/>
    <n v="720000"/>
    <d v="2026-07-19T00:00:00"/>
    <x v="0"/>
    <x v="1"/>
    <x v="1"/>
    <s v="Fresher"/>
    <s v="MCA"/>
    <s v="Full Time"/>
    <s v="Consulting"/>
    <m/>
    <x v="7"/>
  </r>
  <r>
    <s v="APP136"/>
    <x v="9"/>
    <x v="1"/>
    <x v="3"/>
    <n v="550000"/>
    <d v="2026-07-21T00:00:00"/>
    <x v="1"/>
    <x v="0"/>
    <x v="0"/>
    <s v="0-1 Years"/>
    <s v="BCA"/>
    <s v="Full Time"/>
    <s v="IT Services"/>
    <m/>
    <x v="7"/>
  </r>
  <r>
    <s v="APP137"/>
    <x v="10"/>
    <x v="2"/>
    <x v="0"/>
    <n v="620000"/>
    <d v="2026-07-23T00:00:00"/>
    <x v="0"/>
    <x v="3"/>
    <x v="0"/>
    <s v="Fresher"/>
    <s v="B.Sc"/>
    <s v="Full Time"/>
    <s v="Software"/>
    <m/>
    <x v="7"/>
  </r>
  <r>
    <s v="APP138"/>
    <x v="11"/>
    <x v="3"/>
    <x v="2"/>
    <n v="880000"/>
    <d v="2026-07-25T00:00:00"/>
    <x v="2"/>
    <x v="0"/>
    <x v="2"/>
    <s v="1-2 Years"/>
    <s v="B.Tech"/>
    <s v="Full Time"/>
    <s v="E-Commerce"/>
    <m/>
    <x v="7"/>
  </r>
  <r>
    <s v="APP139"/>
    <x v="12"/>
    <x v="5"/>
    <x v="1"/>
    <n v="780000"/>
    <d v="2026-07-27T00:00:00"/>
    <x v="3"/>
    <x v="3"/>
    <x v="1"/>
    <s v="1-2 Years"/>
    <s v="MCA"/>
    <s v="Full Time"/>
    <s v="Technology"/>
    <m/>
    <x v="7"/>
  </r>
  <r>
    <s v="APP140"/>
    <x v="13"/>
    <x v="1"/>
    <x v="0"/>
    <n v="690000"/>
    <d v="2026-07-29T00:00:00"/>
    <x v="0"/>
    <x v="1"/>
    <x v="0"/>
    <s v="0-1 Years"/>
    <s v="BCA"/>
    <s v="Full Time"/>
    <s v="Technology"/>
    <m/>
    <x v="7"/>
  </r>
  <r>
    <s v="APP141"/>
    <x v="0"/>
    <x v="2"/>
    <x v="3"/>
    <n v="680000"/>
    <d v="2026-07-31T00:00:00"/>
    <x v="1"/>
    <x v="2"/>
    <x v="2"/>
    <s v="Fresher"/>
    <s v="B.Sc"/>
    <s v="Full Time"/>
    <s v="Fintech"/>
    <m/>
    <x v="7"/>
  </r>
  <r>
    <s v="APP142"/>
    <x v="1"/>
    <x v="0"/>
    <x v="2"/>
    <n v="650000"/>
    <d v="2026-08-02T00:00:00"/>
    <x v="2"/>
    <x v="0"/>
    <x v="0"/>
    <s v="1-2 Years"/>
    <s v="B.Tech"/>
    <s v="Full Time"/>
    <s v="IT Services"/>
    <m/>
    <x v="0"/>
  </r>
  <r>
    <s v="APP143"/>
    <x v="2"/>
    <x v="3"/>
    <x v="0"/>
    <n v="780000"/>
    <d v="2026-08-04T00:00:00"/>
    <x v="0"/>
    <x v="1"/>
    <x v="2"/>
    <s v="1-2 Years"/>
    <s v="B.Tech"/>
    <s v="Full Time"/>
    <s v="Consulting"/>
    <m/>
    <x v="0"/>
  </r>
  <r>
    <s v="APP144"/>
    <x v="3"/>
    <x v="1"/>
    <x v="1"/>
    <n v="590000"/>
    <d v="2026-08-06T00:00:00"/>
    <x v="3"/>
    <x v="0"/>
    <x v="1"/>
    <s v="Fresher"/>
    <s v="BCA"/>
    <s v="Full Time"/>
    <s v="IT Services"/>
    <m/>
    <x v="0"/>
  </r>
  <r>
    <s v="APP145"/>
    <x v="4"/>
    <x v="2"/>
    <x v="2"/>
    <n v="610000"/>
    <d v="2026-08-08T00:00:00"/>
    <x v="1"/>
    <x v="2"/>
    <x v="0"/>
    <s v="0-1 Years"/>
    <s v="B.Sc"/>
    <s v="Full Time"/>
    <s v="IT Services"/>
    <m/>
    <x v="0"/>
  </r>
  <r>
    <s v="APP146"/>
    <x v="5"/>
    <x v="3"/>
    <x v="0"/>
    <n v="720000"/>
    <d v="2026-08-10T00:00:00"/>
    <x v="2"/>
    <x v="1"/>
    <x v="2"/>
    <s v="1-2 Years"/>
    <s v="B.Tech"/>
    <s v="Full Time"/>
    <s v="IT Services"/>
    <m/>
    <x v="0"/>
  </r>
  <r>
    <s v="APP147"/>
    <x v="6"/>
    <x v="1"/>
    <x v="3"/>
    <n v="600000"/>
    <d v="2026-08-12T00:00:00"/>
    <x v="0"/>
    <x v="0"/>
    <x v="0"/>
    <s v="Fresher"/>
    <s v="BCA"/>
    <s v="Full Time"/>
    <s v="IT Services"/>
    <m/>
    <x v="0"/>
  </r>
  <r>
    <s v="APP148"/>
    <x v="7"/>
    <x v="2"/>
    <x v="1"/>
    <n v="690000"/>
    <d v="2026-08-14T00:00:00"/>
    <x v="3"/>
    <x v="2"/>
    <x v="1"/>
    <s v="0-1 Years"/>
    <s v="B.Sc"/>
    <s v="Full Time"/>
    <s v="Technology"/>
    <m/>
    <x v="0"/>
  </r>
  <r>
    <s v="APP149"/>
    <x v="8"/>
    <x v="3"/>
    <x v="2"/>
    <n v="790000"/>
    <d v="2026-08-16T00:00:00"/>
    <x v="1"/>
    <x v="0"/>
    <x v="2"/>
    <s v="1-2 Years"/>
    <s v="B.Tech"/>
    <s v="Full Time"/>
    <s v="Consulting"/>
    <m/>
    <x v="0"/>
  </r>
  <r>
    <s v="APP150"/>
    <x v="9"/>
    <x v="0"/>
    <x v="0"/>
    <n v="630000"/>
    <d v="2026-08-18T00:00:00"/>
    <x v="0"/>
    <x v="1"/>
    <x v="0"/>
    <s v="Fresher"/>
    <s v="MCA"/>
    <s v="Full Time"/>
    <s v="IT Services"/>
    <m/>
    <x v="0"/>
  </r>
  <r>
    <s v="APP151"/>
    <x v="10"/>
    <x v="1"/>
    <x v="1"/>
    <n v="570000"/>
    <d v="2026-08-20T00:00:00"/>
    <x v="2"/>
    <x v="3"/>
    <x v="1"/>
    <s v="0-1 Years"/>
    <s v="BCA"/>
    <s v="Full Time"/>
    <s v="Software"/>
    <m/>
    <x v="0"/>
  </r>
  <r>
    <s v="APP152"/>
    <x v="11"/>
    <x v="2"/>
    <x v="2"/>
    <n v="770000"/>
    <d v="2026-08-22T00:00:00"/>
    <x v="0"/>
    <x v="0"/>
    <x v="2"/>
    <s v="1-2 Years"/>
    <s v="B.Sc"/>
    <s v="Full Time"/>
    <s v="E-Commerce"/>
    <m/>
    <x v="0"/>
  </r>
  <r>
    <s v="APP153"/>
    <x v="12"/>
    <x v="0"/>
    <x v="0"/>
    <n v="840000"/>
    <d v="2026-08-24T00:00:00"/>
    <x v="1"/>
    <x v="3"/>
    <x v="0"/>
    <s v="1-2 Years"/>
    <s v="B.Tech"/>
    <s v="Full Time"/>
    <s v="Technology"/>
    <m/>
    <x v="0"/>
  </r>
  <r>
    <s v="APP154"/>
    <x v="13"/>
    <x v="3"/>
    <x v="3"/>
    <n v="810000"/>
    <d v="2026-08-26T00:00:00"/>
    <x v="2"/>
    <x v="1"/>
    <x v="2"/>
    <s v="1-2 Years"/>
    <s v="B.Tech"/>
    <s v="Full Time"/>
    <s v="Technology"/>
    <m/>
    <x v="0"/>
  </r>
  <r>
    <s v="APP155"/>
    <x v="0"/>
    <x v="1"/>
    <x v="1"/>
    <n v="640000"/>
    <d v="2026-08-28T00:00:00"/>
    <x v="0"/>
    <x v="2"/>
    <x v="1"/>
    <s v="Fresher"/>
    <s v="BCA"/>
    <s v="Full Time"/>
    <s v="Fintech"/>
    <m/>
    <x v="0"/>
  </r>
  <r>
    <s v="APP156"/>
    <x v="1"/>
    <x v="2"/>
    <x v="2"/>
    <n v="610000"/>
    <d v="2026-08-30T00:00:00"/>
    <x v="3"/>
    <x v="0"/>
    <x v="0"/>
    <s v="0-1 Years"/>
    <s v="B.Sc"/>
    <s v="Full Time"/>
    <s v="IT Services"/>
    <m/>
    <x v="0"/>
  </r>
  <r>
    <s v="APP157"/>
    <x v="2"/>
    <x v="0"/>
    <x v="0"/>
    <n v="710000"/>
    <d v="2026-09-01T00:00:00"/>
    <x v="1"/>
    <x v="1"/>
    <x v="0"/>
    <s v="1-2 Years"/>
    <s v="MCA"/>
    <s v="Full Time"/>
    <s v="Consulting"/>
    <m/>
    <x v="1"/>
  </r>
  <r>
    <s v="APP158"/>
    <x v="3"/>
    <x v="3"/>
    <x v="1"/>
    <n v="650000"/>
    <d v="2026-09-02T00:00:00"/>
    <x v="0"/>
    <x v="0"/>
    <x v="1"/>
    <s v="Fresher"/>
    <s v="B.Tech"/>
    <s v="Full Time"/>
    <s v="IT Services"/>
    <m/>
    <x v="1"/>
  </r>
  <r>
    <s v="APP159"/>
    <x v="4"/>
    <x v="1"/>
    <x v="2"/>
    <n v="580000"/>
    <d v="2026-09-03T00:00:00"/>
    <x v="2"/>
    <x v="2"/>
    <x v="2"/>
    <s v="0-1 Years"/>
    <s v="BCA"/>
    <s v="Full Time"/>
    <s v="IT Services"/>
    <m/>
    <x v="1"/>
  </r>
  <r>
    <s v="APP160"/>
    <x v="5"/>
    <x v="2"/>
    <x v="0"/>
    <n v="670000"/>
    <d v="2026-09-04T00:00:00"/>
    <x v="0"/>
    <x v="1"/>
    <x v="0"/>
    <s v="1-2 Years"/>
    <s v="B.Sc"/>
    <s v="Full Time"/>
    <s v="IT Services"/>
    <m/>
    <x v="1"/>
  </r>
  <r>
    <s v="APP161"/>
    <x v="6"/>
    <x v="0"/>
    <x v="3"/>
    <n v="620000"/>
    <d v="2026-09-05T00:00:00"/>
    <x v="3"/>
    <x v="0"/>
    <x v="1"/>
    <s v="Fresher"/>
    <s v="B.Tech"/>
    <s v="Full Time"/>
    <s v="IT Services"/>
    <m/>
    <x v="1"/>
  </r>
  <r>
    <s v="APP162"/>
    <x v="7"/>
    <x v="1"/>
    <x v="1"/>
    <n v="610000"/>
    <d v="2026-09-06T00:00:00"/>
    <x v="1"/>
    <x v="2"/>
    <x v="0"/>
    <s v="0-1 Years"/>
    <s v="BCA"/>
    <s v="Full Time"/>
    <s v="Technology"/>
    <m/>
    <x v="1"/>
  </r>
  <r>
    <s v="APP163"/>
    <x v="8"/>
    <x v="2"/>
    <x v="2"/>
    <n v="750000"/>
    <d v="2026-09-07T00:00:00"/>
    <x v="2"/>
    <x v="1"/>
    <x v="2"/>
    <s v="1-2 Years"/>
    <s v="MCA"/>
    <s v="Full Time"/>
    <s v="Consulting"/>
    <m/>
    <x v="1"/>
  </r>
  <r>
    <s v="APP164"/>
    <x v="9"/>
    <x v="3"/>
    <x v="0"/>
    <n v="690000"/>
    <d v="2026-09-08T00:00:00"/>
    <x v="0"/>
    <x v="0"/>
    <x v="0"/>
    <s v="Fresher"/>
    <s v="B.Tech"/>
    <s v="Full Time"/>
    <s v="IT Services"/>
    <m/>
    <x v="1"/>
  </r>
  <r>
    <s v="APP165"/>
    <x v="10"/>
    <x v="0"/>
    <x v="1"/>
    <n v="620000"/>
    <d v="2026-09-09T00:00:00"/>
    <x v="3"/>
    <x v="3"/>
    <x v="1"/>
    <s v="0-1 Years"/>
    <s v="B.Tech"/>
    <s v="Full Time"/>
    <s v="Software"/>
    <m/>
    <x v="1"/>
  </r>
  <r>
    <s v="APP166"/>
    <x v="11"/>
    <x v="1"/>
    <x v="2"/>
    <n v="730000"/>
    <d v="2026-09-10T00:00:00"/>
    <x v="1"/>
    <x v="0"/>
    <x v="2"/>
    <s v="1-2 Years"/>
    <s v="BCA"/>
    <s v="Full Time"/>
    <s v="E-Commerce"/>
    <m/>
    <x v="1"/>
  </r>
  <r>
    <s v="APP167"/>
    <x v="12"/>
    <x v="2"/>
    <x v="0"/>
    <n v="820000"/>
    <d v="2026-09-11T00:00:00"/>
    <x v="2"/>
    <x v="3"/>
    <x v="0"/>
    <s v="Fresher"/>
    <s v="B.Sc"/>
    <s v="Full Time"/>
    <s v="Technology"/>
    <m/>
    <x v="1"/>
  </r>
  <r>
    <s v="APP168"/>
    <x v="13"/>
    <x v="5"/>
    <x v="3"/>
    <n v="760000"/>
    <d v="2026-09-12T00:00:00"/>
    <x v="0"/>
    <x v="1"/>
    <x v="0"/>
    <s v="1-2 Years"/>
    <s v="MCA"/>
    <s v="Full Time"/>
    <s v="Technology"/>
    <m/>
    <x v="1"/>
  </r>
  <r>
    <s v="APP169"/>
    <x v="0"/>
    <x v="3"/>
    <x v="2"/>
    <n v="770000"/>
    <d v="2026-09-13T00:00:00"/>
    <x v="1"/>
    <x v="2"/>
    <x v="2"/>
    <s v="1-2 Years"/>
    <s v="B.Tech"/>
    <s v="Full Time"/>
    <s v="Fintech"/>
    <m/>
    <x v="1"/>
  </r>
  <r>
    <s v="APP170"/>
    <x v="1"/>
    <x v="1"/>
    <x v="1"/>
    <n v="550000"/>
    <d v="2026-09-14T00:00:00"/>
    <x v="3"/>
    <x v="0"/>
    <x v="1"/>
    <s v="Fresher"/>
    <s v="BCA"/>
    <s v="Full Time"/>
    <s v="IT Services"/>
    <m/>
    <x v="1"/>
  </r>
  <r>
    <s v="APP171"/>
    <x v="2"/>
    <x v="2"/>
    <x v="0"/>
    <n v="680000"/>
    <d v="2026-09-15T00:00:00"/>
    <x v="0"/>
    <x v="1"/>
    <x v="0"/>
    <s v="0-1 Years"/>
    <s v="B.Sc"/>
    <s v="Full Time"/>
    <s v="Consulting"/>
    <m/>
    <x v="1"/>
  </r>
  <r>
    <s v="APP172"/>
    <x v="3"/>
    <x v="0"/>
    <x v="2"/>
    <n v="600000"/>
    <d v="2026-09-16T00:00:00"/>
    <x v="2"/>
    <x v="0"/>
    <x v="2"/>
    <s v="1-2 Years"/>
    <s v="B.Tech"/>
    <s v="Full Time"/>
    <s v="IT Services"/>
    <m/>
    <x v="1"/>
  </r>
  <r>
    <s v="APP173"/>
    <x v="4"/>
    <x v="3"/>
    <x v="1"/>
    <n v="660000"/>
    <d v="2026-09-17T00:00:00"/>
    <x v="1"/>
    <x v="2"/>
    <x v="1"/>
    <s v="Fresher"/>
    <s v="B.Tech"/>
    <s v="Full Time"/>
    <s v="IT Services"/>
    <m/>
    <x v="1"/>
  </r>
  <r>
    <s v="APP174"/>
    <x v="5"/>
    <x v="1"/>
    <x v="0"/>
    <n v="630000"/>
    <d v="2026-09-18T00:00:00"/>
    <x v="0"/>
    <x v="1"/>
    <x v="0"/>
    <s v="0-1 Years"/>
    <s v="BCA"/>
    <s v="Full Time"/>
    <s v="IT Services"/>
    <m/>
    <x v="1"/>
  </r>
  <r>
    <s v="APP175"/>
    <x v="6"/>
    <x v="2"/>
    <x v="3"/>
    <n v="600000"/>
    <d v="2026-09-19T00:00:00"/>
    <x v="3"/>
    <x v="0"/>
    <x v="1"/>
    <s v="Fresher"/>
    <s v="B.Sc"/>
    <s v="Full Time"/>
    <s v="IT Services"/>
    <m/>
    <x v="1"/>
  </r>
  <r>
    <s v="APP176"/>
    <x v="7"/>
    <x v="0"/>
    <x v="2"/>
    <n v="690000"/>
    <d v="2026-09-20T00:00:00"/>
    <x v="2"/>
    <x v="2"/>
    <x v="2"/>
    <s v="1-2 Years"/>
    <s v="MCA"/>
    <s v="Full Time"/>
    <s v="Technology"/>
    <m/>
    <x v="1"/>
  </r>
  <r>
    <s v="APP177"/>
    <x v="8"/>
    <x v="1"/>
    <x v="1"/>
    <n v="720000"/>
    <d v="2026-09-21T00:00:00"/>
    <x v="0"/>
    <x v="1"/>
    <x v="0"/>
    <s v="0-1 Years"/>
    <s v="BCA"/>
    <s v="Full Time"/>
    <s v="Consulting"/>
    <m/>
    <x v="1"/>
  </r>
  <r>
    <s v="APP178"/>
    <x v="9"/>
    <x v="2"/>
    <x v="0"/>
    <n v="590000"/>
    <d v="2026-09-22T00:00:00"/>
    <x v="1"/>
    <x v="0"/>
    <x v="0"/>
    <s v="Fresher"/>
    <s v="B.Sc"/>
    <s v="Full Time"/>
    <s v="IT Services"/>
    <m/>
    <x v="1"/>
  </r>
  <r>
    <s v="APP179"/>
    <x v="10"/>
    <x v="3"/>
    <x v="2"/>
    <n v="710000"/>
    <d v="2026-09-23T00:00:00"/>
    <x v="3"/>
    <x v="3"/>
    <x v="2"/>
    <s v="1-2 Years"/>
    <s v="B.Tech"/>
    <s v="Full Time"/>
    <s v="Software"/>
    <m/>
    <x v="1"/>
  </r>
  <r>
    <s v="APP180"/>
    <x v="11"/>
    <x v="0"/>
    <x v="1"/>
    <n v="750000"/>
    <d v="2026-09-24T00:00:00"/>
    <x v="2"/>
    <x v="0"/>
    <x v="1"/>
    <s v="1-2 Years"/>
    <s v="MCA"/>
    <s v="Full Time"/>
    <s v="E-Commerce"/>
    <m/>
    <x v="1"/>
  </r>
  <r>
    <s v="APP181"/>
    <x v="12"/>
    <x v="1"/>
    <x v="0"/>
    <n v="830000"/>
    <d v="2026-09-25T00:00:00"/>
    <x v="0"/>
    <x v="3"/>
    <x v="0"/>
    <s v="Fresher"/>
    <s v="BCA"/>
    <s v="Full Time"/>
    <s v="Technology"/>
    <m/>
    <x v="1"/>
  </r>
  <r>
    <s v="APP182"/>
    <x v="13"/>
    <x v="2"/>
    <x v="2"/>
    <n v="740000"/>
    <d v="2026-09-26T00:00:00"/>
    <x v="1"/>
    <x v="1"/>
    <x v="2"/>
    <s v="0-1 Years"/>
    <s v="B.Sc"/>
    <s v="Full Time"/>
    <s v="Technology"/>
    <m/>
    <x v="1"/>
  </r>
  <r>
    <s v="APP183"/>
    <x v="0"/>
    <x v="5"/>
    <x v="3"/>
    <n v="700000"/>
    <d v="2026-09-27T00:00:00"/>
    <x v="2"/>
    <x v="2"/>
    <x v="0"/>
    <s v="1-2 Years"/>
    <s v="MCA"/>
    <s v="Full Time"/>
    <s v="Fintech"/>
    <m/>
    <x v="1"/>
  </r>
  <r>
    <s v="APP184"/>
    <x v="1"/>
    <x v="4"/>
    <x v="1"/>
    <n v="620000"/>
    <d v="2026-09-28T00:00:00"/>
    <x v="0"/>
    <x v="0"/>
    <x v="1"/>
    <s v="Fresher"/>
    <s v="B.Tech"/>
    <s v="Full Time"/>
    <s v="IT Services"/>
    <m/>
    <x v="1"/>
  </r>
  <r>
    <s v="APP185"/>
    <x v="2"/>
    <x v="6"/>
    <x v="0"/>
    <n v="580000"/>
    <d v="2026-09-29T00:00:00"/>
    <x v="3"/>
    <x v="1"/>
    <x v="0"/>
    <s v="0-1 Years"/>
    <s v="B.Sc"/>
    <s v="Full Time"/>
    <s v="Consulting"/>
    <m/>
    <x v="1"/>
  </r>
  <r>
    <s v="APP186"/>
    <x v="3"/>
    <x v="7"/>
    <x v="2"/>
    <n v="620000"/>
    <d v="2026-09-30T00:00:00"/>
    <x v="1"/>
    <x v="0"/>
    <x v="2"/>
    <s v="1-2 Years"/>
    <s v="B.Tech"/>
    <s v="Full Time"/>
    <s v="IT Services"/>
    <m/>
    <x v="1"/>
  </r>
  <r>
    <s v="APP187"/>
    <x v="4"/>
    <x v="5"/>
    <x v="3"/>
    <n v="670000"/>
    <d v="2026-10-01T00:00:00"/>
    <x v="2"/>
    <x v="2"/>
    <x v="0"/>
    <s v="Fresher"/>
    <s v="MCA"/>
    <s v="Full Time"/>
    <s v="IT Services"/>
    <m/>
    <x v="8"/>
  </r>
  <r>
    <s v="APP188"/>
    <x v="5"/>
    <x v="4"/>
    <x v="1"/>
    <n v="650000"/>
    <d v="2026-10-02T00:00:00"/>
    <x v="0"/>
    <x v="1"/>
    <x v="1"/>
    <s v="0-1 Years"/>
    <s v="B.Tech"/>
    <s v="Full Time"/>
    <s v="IT Services"/>
    <m/>
    <x v="8"/>
  </r>
  <r>
    <s v="APP189"/>
    <x v="6"/>
    <x v="6"/>
    <x v="0"/>
    <n v="590000"/>
    <d v="2026-10-03T00:00:00"/>
    <x v="3"/>
    <x v="0"/>
    <x v="0"/>
    <s v="Fresher"/>
    <s v="B.Sc"/>
    <s v="Full Time"/>
    <s v="IT Services"/>
    <m/>
    <x v="8"/>
  </r>
  <r>
    <s v="APP190"/>
    <x v="7"/>
    <x v="7"/>
    <x v="2"/>
    <n v="680000"/>
    <d v="2026-10-04T00:00:00"/>
    <x v="1"/>
    <x v="2"/>
    <x v="2"/>
    <s v="1-2 Years"/>
    <s v="B.Tech"/>
    <s v="Full Time"/>
    <s v="Technology"/>
    <m/>
    <x v="8"/>
  </r>
  <r>
    <s v="APP191"/>
    <x v="8"/>
    <x v="4"/>
    <x v="1"/>
    <n v="720000"/>
    <d v="2026-10-05T00:00:00"/>
    <x v="2"/>
    <x v="1"/>
    <x v="1"/>
    <s v="1-2 Years"/>
    <s v="B.Tech"/>
    <s v="Full Time"/>
    <s v="Consulting"/>
    <m/>
    <x v="8"/>
  </r>
  <r>
    <s v="APP192"/>
    <x v="9"/>
    <x v="8"/>
    <x v="0"/>
    <n v="520000"/>
    <d v="2026-10-06T00:00:00"/>
    <x v="0"/>
    <x v="0"/>
    <x v="0"/>
    <s v="Fresher"/>
    <s v="BCA"/>
    <s v="Full Time"/>
    <s v="IT Services"/>
    <m/>
    <x v="8"/>
  </r>
  <r>
    <s v="APP193"/>
    <x v="10"/>
    <x v="9"/>
    <x v="2"/>
    <n v="570000"/>
    <d v="2026-10-07T00:00:00"/>
    <x v="3"/>
    <x v="3"/>
    <x v="2"/>
    <s v="0-1 Years"/>
    <s v="B.Sc"/>
    <s v="Full Time"/>
    <s v="Software"/>
    <m/>
    <x v="8"/>
  </r>
  <r>
    <s v="APP194"/>
    <x v="11"/>
    <x v="5"/>
    <x v="1"/>
    <n v="790000"/>
    <d v="2026-10-08T00:00:00"/>
    <x v="1"/>
    <x v="0"/>
    <x v="1"/>
    <s v="1-2 Years"/>
    <s v="MCA"/>
    <s v="Full Time"/>
    <s v="E-Commerce"/>
    <m/>
    <x v="8"/>
  </r>
  <r>
    <s v="APP195"/>
    <x v="12"/>
    <x v="4"/>
    <x v="0"/>
    <n v="820000"/>
    <d v="2026-10-09T00:00:00"/>
    <x v="2"/>
    <x v="3"/>
    <x v="0"/>
    <s v="1-2 Years"/>
    <s v="B.Tech"/>
    <s v="Full Time"/>
    <s v="Technology"/>
    <m/>
    <x v="8"/>
  </r>
  <r>
    <s v="APP196"/>
    <x v="13"/>
    <x v="6"/>
    <x v="3"/>
    <n v="650000"/>
    <d v="2026-10-10T00:00:00"/>
    <x v="0"/>
    <x v="1"/>
    <x v="0"/>
    <s v="Fresher"/>
    <s v="B.Sc"/>
    <s v="Full Time"/>
    <s v="Technology"/>
    <m/>
    <x v="8"/>
  </r>
  <r>
    <s v="APP197"/>
    <x v="0"/>
    <x v="7"/>
    <x v="2"/>
    <n v="690000"/>
    <d v="2026-10-11T00:00:00"/>
    <x v="1"/>
    <x v="2"/>
    <x v="2"/>
    <s v="0-1 Years"/>
    <s v="B.Tech"/>
    <s v="Full Time"/>
    <s v="Fintech"/>
    <m/>
    <x v="8"/>
  </r>
  <r>
    <s v="APP198"/>
    <x v="1"/>
    <x v="8"/>
    <x v="1"/>
    <n v="500000"/>
    <d v="2026-10-12T00:00:00"/>
    <x v="3"/>
    <x v="0"/>
    <x v="1"/>
    <s v="Fresher"/>
    <s v="BCA"/>
    <s v="Full Time"/>
    <s v="IT Services"/>
    <m/>
    <x v="8"/>
  </r>
  <r>
    <s v="APP199"/>
    <x v="2"/>
    <x v="9"/>
    <x v="0"/>
    <n v="610000"/>
    <d v="2026-10-13T00:00:00"/>
    <x v="2"/>
    <x v="1"/>
    <x v="0"/>
    <s v="0-1 Years"/>
    <s v="B.Sc"/>
    <s v="Full Time"/>
    <s v="Consulting"/>
    <m/>
    <x v="8"/>
  </r>
  <r>
    <s v="APP200"/>
    <x v="3"/>
    <x v="4"/>
    <x v="2"/>
    <n v="630000"/>
    <d v="2026-10-14T00:00:00"/>
    <x v="4"/>
    <x v="3"/>
    <x v="2"/>
    <s v="1-2 Years"/>
    <s v="B.Tech"/>
    <s v="Full Time"/>
    <s v="IT Services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78A46-9436-44B2-A49B-E25BC8E41287}" name="PivotTable1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10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7">
        <item x="0"/>
        <item x="2"/>
        <item x="4"/>
        <item x="3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pplication_ID" fld="0" subtotal="count" baseField="0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EF0B6-BBD5-48F0-91A8-CD07456FD4BA}" name="PivotTable3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5" firstHeaderRow="1" firstDataRow="1" firstDataCol="1"/>
  <pivotFields count="15">
    <pivotField dataField="1" compact="0" outline="0" showAll="0"/>
    <pivotField axis="axisRow" compact="0" outline="0" showAll="0" sortType="descending">
      <items count="22">
        <item x="2"/>
        <item x="11"/>
        <item x="9"/>
        <item x="17"/>
        <item x="5"/>
        <item x="8"/>
        <item x="0"/>
        <item x="6"/>
        <item x="7"/>
        <item x="3"/>
        <item x="16"/>
        <item x="19"/>
        <item x="12"/>
        <item x="13"/>
        <item x="14"/>
        <item x="1"/>
        <item x="18"/>
        <item x="15"/>
        <item x="4"/>
        <item x="1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2">
    <i>
      <x v="15"/>
    </i>
    <i>
      <x/>
    </i>
    <i>
      <x v="6"/>
    </i>
    <i>
      <x v="5"/>
    </i>
    <i>
      <x v="12"/>
    </i>
    <i>
      <x v="4"/>
    </i>
    <i>
      <x v="1"/>
    </i>
    <i>
      <x v="13"/>
    </i>
    <i>
      <x v="18"/>
    </i>
    <i>
      <x v="19"/>
    </i>
    <i>
      <x v="7"/>
    </i>
    <i>
      <x v="9"/>
    </i>
    <i>
      <x v="8"/>
    </i>
    <i>
      <x v="2"/>
    </i>
    <i>
      <x v="16"/>
    </i>
    <i>
      <x v="17"/>
    </i>
    <i>
      <x v="11"/>
    </i>
    <i>
      <x v="14"/>
    </i>
    <i>
      <x v="3"/>
    </i>
    <i>
      <x v="10"/>
    </i>
    <i>
      <x v="20"/>
    </i>
    <i t="grand">
      <x/>
    </i>
  </rowItems>
  <colItems count="1">
    <i/>
  </colItems>
  <dataFields count="1">
    <dataField name="Count of Application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E00CC-F323-4233-AB62-C42745D4323C}" name="PivotTable1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5">
    <pivotField dataField="1" compact="0" outline="0" showAll="0"/>
    <pivotField compact="0" outline="0" showAll="0"/>
    <pivotField axis="axisRow" compact="0" outline="0" showAll="0" sortType="descending">
      <items count="11">
        <item x="9"/>
        <item x="7"/>
        <item x="5"/>
        <item x="2"/>
        <item x="1"/>
        <item x="6"/>
        <item x="3"/>
        <item x="4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 v="3"/>
    </i>
    <i>
      <x v="4"/>
    </i>
    <i>
      <x v="6"/>
    </i>
    <i>
      <x v="9"/>
    </i>
    <i>
      <x v="2"/>
    </i>
    <i>
      <x v="7"/>
    </i>
    <i>
      <x v="5"/>
    </i>
    <i>
      <x v="1"/>
    </i>
    <i>
      <x/>
    </i>
    <i>
      <x v="8"/>
    </i>
    <i t="grand">
      <x/>
    </i>
  </rowItems>
  <colItems count="1">
    <i/>
  </colItems>
  <dataFields count="1">
    <dataField name="Count of Application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19B9F-7E1B-459E-A781-93E84E08F420}" name="PivotTable2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5"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8">
        <item x="2"/>
        <item x="1"/>
        <item x="5"/>
        <item x="0"/>
        <item x="4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 v="3"/>
    </i>
    <i>
      <x/>
    </i>
    <i>
      <x v="1"/>
    </i>
    <i>
      <x v="6"/>
    </i>
    <i>
      <x v="2"/>
    </i>
    <i>
      <x v="4"/>
    </i>
    <i>
      <x v="5"/>
    </i>
    <i t="grand">
      <x/>
    </i>
  </rowItems>
  <colItems count="1">
    <i/>
  </colItems>
  <dataFields count="1">
    <dataField name="Count of Application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6B789-87D0-4FF7-B2B6-620049427917}" name="PivotTable3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Count of Application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B3684-8029-4313-8DAD-2CF354D98B0E}" name="PivotTable4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5">
    <pivotField compact="0" outline="0" showAll="0"/>
    <pivotField compact="0" outline="0" showAll="0"/>
    <pivotField axis="axisRow" compact="0" outline="0" showAll="0">
      <items count="11">
        <item x="9"/>
        <item x="7"/>
        <item x="5"/>
        <item x="2"/>
        <item x="1"/>
        <item x="6"/>
        <item x="3"/>
        <item x="4"/>
        <item x="8"/>
        <item x="0"/>
        <item t="default"/>
      </items>
    </pivotField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" fld="4" subtotal="average" baseField="0" baseItem="0"/>
  </dataFields>
  <formats count="2">
    <format dxfId="4">
      <pivotArea outline="0" fieldPosition="0">
        <references count="1">
          <reference field="2" count="8" selected="0"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5021E-AE41-45EB-97BD-2BAD5A160CFB}" name="PivotTable3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3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2"/>
        <item x="3"/>
        <item x="4"/>
        <item x="5"/>
        <item x="6"/>
        <item x="7"/>
        <item x="0"/>
        <item x="1"/>
        <item x="8"/>
        <item t="default"/>
      </items>
    </pivotField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pplication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B7590-CFD5-42F6-A5F9-3FE670236AA7}" name="PivotTable4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lication_ID" fld="0" subtotal="count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542EB-86C1-4077-89E0-9A26EED20C0C}" name="Application" displayName="Application" ref="A1:O201" totalsRowShown="0">
  <autoFilter ref="A1:O201" xr:uid="{B80542EB-86C1-4077-89E0-9A26EED20C0C}"/>
  <tableColumns count="15">
    <tableColumn id="1" xr3:uid="{6DA6F419-125F-47E7-92EC-255B474FE1AD}" name="Application_ID"/>
    <tableColumn id="2" xr3:uid="{F120FFEF-FED6-46B6-A063-E7FE5290A8AF}" name="Company"/>
    <tableColumn id="3" xr3:uid="{DA41BE66-CD21-445B-AED7-7BEA0D90F1ED}" name="Role"/>
    <tableColumn id="4" xr3:uid="{CC2CEFE5-6003-4C57-BE57-ABAEB26F6824}" name="Location"/>
    <tableColumn id="5" xr3:uid="{A62E63CC-EE50-45B1-83B3-80CE21B92447}" name="Salary"/>
    <tableColumn id="6" xr3:uid="{E225E9C2-8911-4BD3-8813-7AFB5B5F0CB5}" name="Applied_Date" dataDxfId="3"/>
    <tableColumn id="7" xr3:uid="{F3ADAF2F-7D69-42DB-8BE7-C9AD13D23B1E}" name="Status"/>
    <tableColumn id="8" xr3:uid="{41FD3572-2AD9-4189-A933-0A174CB7FA9C}" name="Source"/>
    <tableColumn id="9" xr3:uid="{C511E1AA-CE3C-4A31-82C5-E23769077407}" name="Work_Mode"/>
    <tableColumn id="10" xr3:uid="{768F5303-7BA1-4F6C-A5AF-A106D72244E6}" name="Experience"/>
    <tableColumn id="11" xr3:uid="{4B8416B5-88DF-43DE-A922-5A7863EBB24F}" name="Degree"/>
    <tableColumn id="12" xr3:uid="{66B834B1-DA73-48CD-AD5D-415D35525CA8}" name="Job_Type"/>
    <tableColumn id="13" xr3:uid="{53589198-1550-43C3-AFD3-4C40B34A5A04}" name="Industry" dataDxfId="2">
      <calculatedColumnFormula>_xlfn.XLOOKUP(Application[[#This Row],[Company]],Table1[Company],Table1[Industry])</calculatedColumnFormula>
    </tableColumn>
    <tableColumn id="14" xr3:uid="{B53A19CA-B457-4F62-BBB5-7FEB9A62CC8E}" name="Company_Size" dataDxfId="1">
      <calculatedColumnFormula>_xlfn.XLOOKUP(Application[[#This Row],[Company]],Table1[Company],Table1[Company_Size])</calculatedColumnFormula>
    </tableColumn>
    <tableColumn id="15" xr3:uid="{4CA0614E-038F-4AE2-9144-C9A78033C40C}" name="Month" dataDxfId="0">
      <calculatedColumnFormula array="1">TEXT(Application[Applied_Date],"mmm yyyy")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791E8-9459-49BC-A822-895FCA293208}" name="Table1" displayName="Table1" ref="A1:C21" totalsRowShown="0">
  <autoFilter ref="A1:C21" xr:uid="{E4D791E8-9459-49BC-A822-895FCA293208}"/>
  <tableColumns count="3">
    <tableColumn id="1" xr3:uid="{B61AE12A-E53B-419B-AE3F-33CD7970D872}" name="Company"/>
    <tableColumn id="2" xr3:uid="{9CBEE807-ECA9-4ADB-8706-27558312A416}" name="Industry"/>
    <tableColumn id="3" xr3:uid="{3952C6DC-AD20-46B5-B5AD-4D0ADE6EE1DB}" name="Company_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2006-7D6D-4A71-80CB-98A1D5018E69}">
  <dimension ref="A3:B10"/>
  <sheetViews>
    <sheetView workbookViewId="0">
      <selection activeCell="A3" sqref="A3:B10"/>
    </sheetView>
  </sheetViews>
  <sheetFormatPr defaultRowHeight="15"/>
  <cols>
    <col min="1" max="1" width="11.7109375" bestFit="1" customWidth="1"/>
    <col min="2" max="2" width="22.8554687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62</v>
      </c>
    </row>
    <row r="5" spans="1:2">
      <c r="A5" t="s">
        <v>3</v>
      </c>
      <c r="B5" s="4">
        <v>48</v>
      </c>
    </row>
    <row r="6" spans="1:2">
      <c r="A6" t="s">
        <v>4</v>
      </c>
      <c r="B6" s="4">
        <v>6</v>
      </c>
    </row>
    <row r="7" spans="1:2">
      <c r="A7" t="s">
        <v>5</v>
      </c>
      <c r="B7" s="4">
        <v>38</v>
      </c>
    </row>
    <row r="8" spans="1:2">
      <c r="A8" t="s">
        <v>6</v>
      </c>
      <c r="B8" s="4">
        <v>45</v>
      </c>
    </row>
    <row r="9" spans="1:2">
      <c r="A9" s="1">
        <v>46249</v>
      </c>
      <c r="B9" s="4">
        <v>1</v>
      </c>
    </row>
    <row r="10" spans="1:2">
      <c r="A10" t="s">
        <v>7</v>
      </c>
      <c r="B10" s="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5D47-354F-4E33-BF23-CC89A28FFDF8}">
  <dimension ref="A3:B25"/>
  <sheetViews>
    <sheetView topLeftCell="A8" workbookViewId="0">
      <selection activeCell="F24" sqref="F24"/>
    </sheetView>
  </sheetViews>
  <sheetFormatPr defaultRowHeight="15"/>
  <cols>
    <col min="1" max="1" width="12.7109375" bestFit="1" customWidth="1"/>
    <col min="2" max="2" width="22.85546875" bestFit="1" customWidth="1"/>
  </cols>
  <sheetData>
    <row r="3" spans="1:2">
      <c r="A3" s="3" t="s">
        <v>8</v>
      </c>
      <c r="B3" t="s">
        <v>1</v>
      </c>
    </row>
    <row r="4" spans="1:2">
      <c r="A4" t="s">
        <v>9</v>
      </c>
      <c r="B4" s="4">
        <v>13</v>
      </c>
    </row>
    <row r="5" spans="1:2">
      <c r="A5" t="s">
        <v>10</v>
      </c>
      <c r="B5" s="4">
        <v>13</v>
      </c>
    </row>
    <row r="6" spans="1:2">
      <c r="A6" t="s">
        <v>11</v>
      </c>
      <c r="B6" s="4">
        <v>13</v>
      </c>
    </row>
    <row r="7" spans="1:2">
      <c r="A7" t="s">
        <v>12</v>
      </c>
      <c r="B7" s="4">
        <v>12</v>
      </c>
    </row>
    <row r="8" spans="1:2">
      <c r="A8" t="s">
        <v>13</v>
      </c>
      <c r="B8" s="4">
        <v>12</v>
      </c>
    </row>
    <row r="9" spans="1:2">
      <c r="A9" t="s">
        <v>14</v>
      </c>
      <c r="B9" s="4">
        <v>12</v>
      </c>
    </row>
    <row r="10" spans="1:2">
      <c r="A10" t="s">
        <v>15</v>
      </c>
      <c r="B10" s="4">
        <v>12</v>
      </c>
    </row>
    <row r="11" spans="1:2">
      <c r="A11" t="s">
        <v>16</v>
      </c>
      <c r="B11" s="4">
        <v>12</v>
      </c>
    </row>
    <row r="12" spans="1:2">
      <c r="A12" t="s">
        <v>17</v>
      </c>
      <c r="B12" s="4">
        <v>12</v>
      </c>
    </row>
    <row r="13" spans="1:2">
      <c r="A13" t="s">
        <v>18</v>
      </c>
      <c r="B13" s="4">
        <v>12</v>
      </c>
    </row>
    <row r="14" spans="1:2">
      <c r="A14" t="s">
        <v>19</v>
      </c>
      <c r="B14" s="4">
        <v>12</v>
      </c>
    </row>
    <row r="15" spans="1:2">
      <c r="A15" t="s">
        <v>20</v>
      </c>
      <c r="B15" s="4">
        <v>12</v>
      </c>
    </row>
    <row r="16" spans="1:2">
      <c r="A16" t="s">
        <v>21</v>
      </c>
      <c r="B16" s="4">
        <v>11</v>
      </c>
    </row>
    <row r="17" spans="1:2">
      <c r="A17" t="s">
        <v>22</v>
      </c>
      <c r="B17" s="4">
        <v>11</v>
      </c>
    </row>
    <row r="18" spans="1:2">
      <c r="A18" t="s">
        <v>23</v>
      </c>
      <c r="B18" s="4">
        <v>5</v>
      </c>
    </row>
    <row r="19" spans="1:2">
      <c r="A19" t="s">
        <v>24</v>
      </c>
      <c r="B19" s="4">
        <v>5</v>
      </c>
    </row>
    <row r="20" spans="1:2">
      <c r="A20" t="s">
        <v>25</v>
      </c>
      <c r="B20" s="4">
        <v>5</v>
      </c>
    </row>
    <row r="21" spans="1:2">
      <c r="A21" t="s">
        <v>26</v>
      </c>
      <c r="B21" s="4">
        <v>5</v>
      </c>
    </row>
    <row r="22" spans="1:2">
      <c r="A22" t="s">
        <v>27</v>
      </c>
      <c r="B22" s="4">
        <v>5</v>
      </c>
    </row>
    <row r="23" spans="1:2">
      <c r="A23" t="s">
        <v>28</v>
      </c>
      <c r="B23" s="4">
        <v>5</v>
      </c>
    </row>
    <row r="24" spans="1:2">
      <c r="A24" t="s">
        <v>29</v>
      </c>
      <c r="B24" s="4">
        <v>1</v>
      </c>
    </row>
    <row r="25" spans="1:2">
      <c r="A25" t="s">
        <v>7</v>
      </c>
      <c r="B25" s="4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DAB4-5AFC-4E09-9E00-F02D9AE931F8}">
  <dimension ref="A3:B14"/>
  <sheetViews>
    <sheetView workbookViewId="0">
      <selection activeCell="B21" sqref="B21"/>
    </sheetView>
  </sheetViews>
  <sheetFormatPr defaultRowHeight="15"/>
  <cols>
    <col min="1" max="1" width="18.28515625" bestFit="1" customWidth="1"/>
    <col min="2" max="2" width="22.85546875" bestFit="1" customWidth="1"/>
  </cols>
  <sheetData>
    <row r="3" spans="1:2">
      <c r="A3" s="3" t="s">
        <v>30</v>
      </c>
      <c r="B3" t="s">
        <v>1</v>
      </c>
    </row>
    <row r="4" spans="1:2">
      <c r="A4" t="s">
        <v>31</v>
      </c>
      <c r="B4" s="4">
        <v>47</v>
      </c>
    </row>
    <row r="5" spans="1:2">
      <c r="A5" t="s">
        <v>32</v>
      </c>
      <c r="B5" s="4">
        <v>45</v>
      </c>
    </row>
    <row r="6" spans="1:2">
      <c r="A6" t="s">
        <v>33</v>
      </c>
      <c r="B6" s="4">
        <v>36</v>
      </c>
    </row>
    <row r="7" spans="1:2">
      <c r="A7" t="s">
        <v>34</v>
      </c>
      <c r="B7" s="4">
        <v>29</v>
      </c>
    </row>
    <row r="8" spans="1:2">
      <c r="A8" t="s">
        <v>35</v>
      </c>
      <c r="B8" s="4">
        <v>11</v>
      </c>
    </row>
    <row r="9" spans="1:2">
      <c r="A9" t="s">
        <v>36</v>
      </c>
      <c r="B9" s="4">
        <v>10</v>
      </c>
    </row>
    <row r="10" spans="1:2">
      <c r="A10" t="s">
        <v>37</v>
      </c>
      <c r="B10" s="4">
        <v>9</v>
      </c>
    </row>
    <row r="11" spans="1:2">
      <c r="A11" t="s">
        <v>38</v>
      </c>
      <c r="B11" s="4">
        <v>5</v>
      </c>
    </row>
    <row r="12" spans="1:2">
      <c r="A12" t="s">
        <v>39</v>
      </c>
      <c r="B12" s="4">
        <v>4</v>
      </c>
    </row>
    <row r="13" spans="1:2">
      <c r="A13" t="s">
        <v>40</v>
      </c>
      <c r="B13" s="4">
        <v>4</v>
      </c>
    </row>
    <row r="14" spans="1:2">
      <c r="A14" t="s">
        <v>7</v>
      </c>
      <c r="B14" s="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60F7-1EEC-433A-B3C3-07C597FE3F4C}">
  <dimension ref="A3:B11"/>
  <sheetViews>
    <sheetView workbookViewId="0">
      <selection activeCell="B18" sqref="B18"/>
    </sheetView>
  </sheetViews>
  <sheetFormatPr defaultRowHeight="15"/>
  <cols>
    <col min="1" max="1" width="11.85546875" bestFit="1" customWidth="1"/>
    <col min="2" max="2" width="22.85546875" bestFit="1" customWidth="1"/>
  </cols>
  <sheetData>
    <row r="3" spans="1:2">
      <c r="A3" s="3" t="s">
        <v>41</v>
      </c>
      <c r="B3" t="s">
        <v>1</v>
      </c>
    </row>
    <row r="4" spans="1:2">
      <c r="A4" t="s">
        <v>42</v>
      </c>
      <c r="B4" s="4">
        <v>55</v>
      </c>
    </row>
    <row r="5" spans="1:2">
      <c r="A5" t="s">
        <v>43</v>
      </c>
      <c r="B5" s="4">
        <v>54</v>
      </c>
    </row>
    <row r="6" spans="1:2">
      <c r="A6" t="s">
        <v>44</v>
      </c>
      <c r="B6" s="4">
        <v>50</v>
      </c>
    </row>
    <row r="7" spans="1:2">
      <c r="A7" t="s">
        <v>45</v>
      </c>
      <c r="B7" s="4">
        <v>30</v>
      </c>
    </row>
    <row r="8" spans="1:2">
      <c r="A8" t="s">
        <v>46</v>
      </c>
      <c r="B8" s="4">
        <v>4</v>
      </c>
    </row>
    <row r="9" spans="1:2">
      <c r="A9" t="s">
        <v>47</v>
      </c>
      <c r="B9" s="4">
        <v>4</v>
      </c>
    </row>
    <row r="10" spans="1:2">
      <c r="A10" t="s">
        <v>48</v>
      </c>
      <c r="B10" s="4">
        <v>3</v>
      </c>
    </row>
    <row r="11" spans="1:2">
      <c r="A11" t="s">
        <v>7</v>
      </c>
      <c r="B11" s="4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44D1-4939-491A-874C-A16983266253}">
  <dimension ref="A3:B9"/>
  <sheetViews>
    <sheetView topLeftCell="B1" workbookViewId="0">
      <selection activeCell="C15" sqref="C15"/>
    </sheetView>
  </sheetViews>
  <sheetFormatPr defaultRowHeight="15"/>
  <cols>
    <col min="1" max="1" width="17.42578125" bestFit="1" customWidth="1"/>
    <col min="2" max="2" width="22.85546875" bestFit="1" customWidth="1"/>
  </cols>
  <sheetData>
    <row r="3" spans="1:2">
      <c r="A3" s="3" t="s">
        <v>49</v>
      </c>
      <c r="B3" t="s">
        <v>1</v>
      </c>
    </row>
    <row r="4" spans="1:2">
      <c r="A4" t="s">
        <v>50</v>
      </c>
      <c r="B4" s="4">
        <v>70</v>
      </c>
    </row>
    <row r="5" spans="1:2">
      <c r="A5" t="s">
        <v>51</v>
      </c>
      <c r="B5" s="4">
        <v>57</v>
      </c>
    </row>
    <row r="6" spans="1:2">
      <c r="A6" t="s">
        <v>52</v>
      </c>
      <c r="B6" s="4">
        <v>43</v>
      </c>
    </row>
    <row r="7" spans="1:2">
      <c r="A7" t="s">
        <v>53</v>
      </c>
      <c r="B7" s="4">
        <v>28</v>
      </c>
    </row>
    <row r="8" spans="1:2">
      <c r="A8" t="s">
        <v>54</v>
      </c>
      <c r="B8" s="4">
        <v>2</v>
      </c>
    </row>
    <row r="9" spans="1:2">
      <c r="A9" t="s">
        <v>7</v>
      </c>
      <c r="B9" s="4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2996-C542-41BE-92A6-A8C9DBD8DEF5}">
  <dimension ref="A3:B14"/>
  <sheetViews>
    <sheetView workbookViewId="0">
      <selection activeCell="A3" sqref="A3"/>
    </sheetView>
  </sheetViews>
  <sheetFormatPr defaultRowHeight="15"/>
  <cols>
    <col min="1" max="1" width="18.28515625" bestFit="1" customWidth="1"/>
    <col min="2" max="2" width="16.85546875" bestFit="1" customWidth="1"/>
  </cols>
  <sheetData>
    <row r="3" spans="1:2">
      <c r="A3" s="3" t="s">
        <v>30</v>
      </c>
      <c r="B3" t="s">
        <v>55</v>
      </c>
    </row>
    <row r="4" spans="1:2">
      <c r="A4" t="s">
        <v>39</v>
      </c>
      <c r="B4" s="4">
        <v>587500</v>
      </c>
    </row>
    <row r="5" spans="1:2">
      <c r="A5" t="s">
        <v>38</v>
      </c>
      <c r="B5" s="4">
        <v>650000</v>
      </c>
    </row>
    <row r="6" spans="1:2">
      <c r="A6" t="s">
        <v>35</v>
      </c>
      <c r="B6" s="5">
        <v>729090.90909090906</v>
      </c>
    </row>
    <row r="7" spans="1:2">
      <c r="A7" t="s">
        <v>31</v>
      </c>
      <c r="B7" s="5">
        <v>669148.93617021281</v>
      </c>
    </row>
    <row r="8" spans="1:2">
      <c r="A8" t="s">
        <v>32</v>
      </c>
      <c r="B8" s="5">
        <v>622222.22222222225</v>
      </c>
    </row>
    <row r="9" spans="1:2">
      <c r="A9" t="s">
        <v>37</v>
      </c>
      <c r="B9" s="5">
        <v>607777.77777777775</v>
      </c>
    </row>
    <row r="10" spans="1:2">
      <c r="A10" t="s">
        <v>33</v>
      </c>
      <c r="B10" s="5">
        <v>737777.77777777775</v>
      </c>
    </row>
    <row r="11" spans="1:2">
      <c r="A11" t="s">
        <v>36</v>
      </c>
      <c r="B11" s="5">
        <v>681000</v>
      </c>
    </row>
    <row r="12" spans="1:2">
      <c r="A12" t="s">
        <v>40</v>
      </c>
      <c r="B12" s="5">
        <v>510000</v>
      </c>
    </row>
    <row r="13" spans="1:2">
      <c r="A13" t="s">
        <v>34</v>
      </c>
      <c r="B13" s="5">
        <v>677931.03448275861</v>
      </c>
    </row>
    <row r="14" spans="1:2">
      <c r="A14" t="s">
        <v>7</v>
      </c>
      <c r="B14" s="5">
        <v>668050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5547-8874-420F-9015-220DB63E4CFB}">
  <dimension ref="A3:B13"/>
  <sheetViews>
    <sheetView topLeftCell="B1" workbookViewId="0">
      <selection activeCell="E24" sqref="E24"/>
    </sheetView>
  </sheetViews>
  <sheetFormatPr defaultRowHeight="15"/>
  <cols>
    <col min="1" max="1" width="11.7109375" bestFit="1" customWidth="1"/>
    <col min="2" max="2" width="22.85546875" bestFit="1" customWidth="1"/>
  </cols>
  <sheetData>
    <row r="3" spans="1:2">
      <c r="A3" s="3" t="s">
        <v>56</v>
      </c>
      <c r="B3" t="s">
        <v>1</v>
      </c>
    </row>
    <row r="4" spans="1:2">
      <c r="A4" t="s">
        <v>57</v>
      </c>
      <c r="B4" s="4">
        <v>14</v>
      </c>
    </row>
    <row r="5" spans="1:2">
      <c r="A5" t="s">
        <v>58</v>
      </c>
      <c r="B5" s="4">
        <v>16</v>
      </c>
    </row>
    <row r="6" spans="1:2">
      <c r="A6" t="s">
        <v>59</v>
      </c>
      <c r="B6" s="4">
        <v>15</v>
      </c>
    </row>
    <row r="7" spans="1:2">
      <c r="A7" t="s">
        <v>60</v>
      </c>
      <c r="B7" s="4">
        <v>15</v>
      </c>
    </row>
    <row r="8" spans="1:2">
      <c r="A8" t="s">
        <v>61</v>
      </c>
      <c r="B8" s="4">
        <v>15</v>
      </c>
    </row>
    <row r="9" spans="1:2">
      <c r="A9" t="s">
        <v>62</v>
      </c>
      <c r="B9" s="4">
        <v>16</v>
      </c>
    </row>
    <row r="10" spans="1:2">
      <c r="A10" t="s">
        <v>63</v>
      </c>
      <c r="B10" s="4">
        <v>46</v>
      </c>
    </row>
    <row r="11" spans="1:2">
      <c r="A11" t="s">
        <v>64</v>
      </c>
      <c r="B11" s="4">
        <v>49</v>
      </c>
    </row>
    <row r="12" spans="1:2">
      <c r="A12" t="s">
        <v>65</v>
      </c>
      <c r="B12" s="4">
        <v>14</v>
      </c>
    </row>
    <row r="13" spans="1:2">
      <c r="A13" t="s">
        <v>7</v>
      </c>
      <c r="B13" s="4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6925-CF25-4BC7-866A-01346D1EA3E4}">
  <dimension ref="A3:B7"/>
  <sheetViews>
    <sheetView workbookViewId="0">
      <selection activeCell="B19" sqref="B19"/>
    </sheetView>
  </sheetViews>
  <sheetFormatPr defaultRowHeight="15"/>
  <cols>
    <col min="1" max="1" width="15.42578125" bestFit="1" customWidth="1"/>
    <col min="2" max="2" width="22.85546875" bestFit="1" customWidth="1"/>
  </cols>
  <sheetData>
    <row r="3" spans="1:2">
      <c r="A3" s="3" t="s">
        <v>66</v>
      </c>
      <c r="B3" t="s">
        <v>1</v>
      </c>
    </row>
    <row r="4" spans="1:2">
      <c r="A4" t="s">
        <v>67</v>
      </c>
      <c r="B4" s="4">
        <v>98</v>
      </c>
    </row>
    <row r="5" spans="1:2">
      <c r="A5" t="s">
        <v>68</v>
      </c>
      <c r="B5" s="4">
        <v>47</v>
      </c>
    </row>
    <row r="6" spans="1:2">
      <c r="A6" t="s">
        <v>69</v>
      </c>
      <c r="B6" s="4">
        <v>55</v>
      </c>
    </row>
    <row r="7" spans="1:2">
      <c r="A7" t="s">
        <v>7</v>
      </c>
      <c r="B7" s="4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selection activeCell="N3" sqref="N3"/>
    </sheetView>
  </sheetViews>
  <sheetFormatPr defaultRowHeight="15"/>
  <cols>
    <col min="1" max="1" width="16.7109375" bestFit="1" customWidth="1"/>
    <col min="2" max="2" width="11.85546875" bestFit="1" customWidth="1"/>
    <col min="3" max="3" width="18.28515625" bestFit="1" customWidth="1"/>
    <col min="4" max="4" width="11" bestFit="1" customWidth="1"/>
    <col min="6" max="6" width="15.7109375" bestFit="1" customWidth="1"/>
    <col min="7" max="7" width="10.5703125" bestFit="1" customWidth="1"/>
    <col min="8" max="8" width="17.42578125" bestFit="1" customWidth="1"/>
    <col min="9" max="9" width="14.5703125" bestFit="1" customWidth="1"/>
    <col min="10" max="10" width="13.140625" bestFit="1" customWidth="1"/>
    <col min="11" max="11" width="9.85546875" bestFit="1" customWidth="1"/>
    <col min="12" max="12" width="11.85546875" bestFit="1" customWidth="1"/>
    <col min="13" max="13" width="10.85546875" bestFit="1" customWidth="1"/>
    <col min="14" max="14" width="16.5703125" bestFit="1" customWidth="1"/>
  </cols>
  <sheetData>
    <row r="1" spans="1:15">
      <c r="A1" t="s">
        <v>70</v>
      </c>
      <c r="B1" t="s">
        <v>8</v>
      </c>
      <c r="C1" t="s">
        <v>30</v>
      </c>
      <c r="D1" t="s">
        <v>41</v>
      </c>
      <c r="E1" t="s">
        <v>71</v>
      </c>
      <c r="F1" t="s">
        <v>72</v>
      </c>
      <c r="G1" t="s">
        <v>0</v>
      </c>
      <c r="H1" t="s">
        <v>49</v>
      </c>
      <c r="I1" t="s">
        <v>66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56</v>
      </c>
    </row>
    <row r="2" spans="1:15">
      <c r="A2" t="s">
        <v>78</v>
      </c>
      <c r="B2" t="s">
        <v>11</v>
      </c>
      <c r="C2" t="s">
        <v>34</v>
      </c>
      <c r="D2" t="s">
        <v>42</v>
      </c>
      <c r="E2">
        <v>600000</v>
      </c>
      <c r="F2" s="1">
        <v>46235</v>
      </c>
      <c r="G2" t="s">
        <v>2</v>
      </c>
      <c r="H2" t="s">
        <v>50</v>
      </c>
      <c r="I2" t="s">
        <v>67</v>
      </c>
      <c r="J2" t="s">
        <v>79</v>
      </c>
      <c r="K2" t="s">
        <v>80</v>
      </c>
      <c r="L2" t="s">
        <v>81</v>
      </c>
      <c r="M2" t="str">
        <f>_xlfn.XLOOKUP(Application[[#This Row],[Company]],Table1[Company],Table1[Industry])</f>
        <v>Fintech</v>
      </c>
      <c r="N2" t="str">
        <f>_xlfn.XLOOKUP(Application[[#This Row],[Company]],Table1[Company],Table1[Company_Size])</f>
        <v>Large</v>
      </c>
      <c r="O2" t="str">
        <f>TEXT(Application[[#This Row],[Applied_Date]],"mmmm")</f>
        <v>August</v>
      </c>
    </row>
    <row r="3" spans="1:15">
      <c r="A3" t="s">
        <v>82</v>
      </c>
      <c r="B3" t="s">
        <v>9</v>
      </c>
      <c r="C3" t="s">
        <v>32</v>
      </c>
      <c r="D3" t="s">
        <v>44</v>
      </c>
      <c r="E3">
        <v>500000</v>
      </c>
      <c r="F3" s="1">
        <v>46236</v>
      </c>
      <c r="G3" t="s">
        <v>6</v>
      </c>
      <c r="H3" t="s">
        <v>51</v>
      </c>
      <c r="I3" t="s">
        <v>68</v>
      </c>
      <c r="J3" t="s">
        <v>83</v>
      </c>
      <c r="K3" t="s">
        <v>84</v>
      </c>
      <c r="L3" t="s">
        <v>81</v>
      </c>
      <c r="M3" t="str">
        <f>_xlfn.XLOOKUP(Application[[#This Row],[Company]],Table1[Company],Table1[Industry])</f>
        <v>IT Services</v>
      </c>
      <c r="N3" t="str">
        <f>_xlfn.XLOOKUP(Application[[#This Row],[Company]],Table1[Company],Table1[Company_Size])</f>
        <v>Large</v>
      </c>
      <c r="O3" t="str">
        <f>TEXT(Application[[#This Row],[Applied_Date]],"mmmm")</f>
        <v>August</v>
      </c>
    </row>
    <row r="4" spans="1:15">
      <c r="A4" t="s">
        <v>85</v>
      </c>
      <c r="B4" t="s">
        <v>10</v>
      </c>
      <c r="C4" t="s">
        <v>31</v>
      </c>
      <c r="D4" t="s">
        <v>43</v>
      </c>
      <c r="E4">
        <v>550000</v>
      </c>
      <c r="F4" s="1">
        <v>46237</v>
      </c>
      <c r="G4" t="s">
        <v>3</v>
      </c>
      <c r="H4" t="s">
        <v>51</v>
      </c>
      <c r="I4" t="s">
        <v>67</v>
      </c>
      <c r="J4" t="s">
        <v>86</v>
      </c>
      <c r="K4" t="s">
        <v>87</v>
      </c>
      <c r="L4" t="s">
        <v>81</v>
      </c>
      <c r="M4" t="str">
        <f>_xlfn.XLOOKUP(Application[[#This Row],[Company]],Table1[Company],Table1[Industry])</f>
        <v>Consulting</v>
      </c>
      <c r="N4" t="str">
        <f>_xlfn.XLOOKUP(Application[[#This Row],[Company]],Table1[Company],Table1[Company_Size])</f>
        <v>Large</v>
      </c>
      <c r="O4" t="str">
        <f>TEXT(Application[[#This Row],[Applied_Date]],"mmmm")</f>
        <v>August</v>
      </c>
    </row>
    <row r="5" spans="1:15">
      <c r="A5" t="s">
        <v>88</v>
      </c>
      <c r="B5" t="s">
        <v>20</v>
      </c>
      <c r="C5" t="s">
        <v>32</v>
      </c>
      <c r="D5" t="s">
        <v>45</v>
      </c>
      <c r="E5">
        <v>500000</v>
      </c>
      <c r="F5" s="1">
        <v>46238</v>
      </c>
      <c r="G5" t="s">
        <v>5</v>
      </c>
      <c r="H5" t="s">
        <v>50</v>
      </c>
      <c r="I5" t="s">
        <v>67</v>
      </c>
      <c r="J5" t="s">
        <v>79</v>
      </c>
      <c r="K5" t="s">
        <v>80</v>
      </c>
      <c r="L5" t="s">
        <v>81</v>
      </c>
      <c r="M5" t="str">
        <f>_xlfn.XLOOKUP(Application[[#This Row],[Company]],Table1[Company],Table1[Industry])</f>
        <v>IT Services</v>
      </c>
      <c r="N5" t="str">
        <f>_xlfn.XLOOKUP(Application[[#This Row],[Company]],Table1[Company],Table1[Company_Size])</f>
        <v>Large</v>
      </c>
      <c r="O5" t="str">
        <f>TEXT(Application[[#This Row],[Applied_Date]],"mmmm")</f>
        <v>August</v>
      </c>
    </row>
    <row r="6" spans="1:15">
      <c r="A6" t="s">
        <v>89</v>
      </c>
      <c r="B6" t="s">
        <v>17</v>
      </c>
      <c r="C6" t="s">
        <v>31</v>
      </c>
      <c r="D6" t="s">
        <v>43</v>
      </c>
      <c r="E6">
        <v>600000</v>
      </c>
      <c r="F6" s="1">
        <v>46239</v>
      </c>
      <c r="G6" t="s">
        <v>2</v>
      </c>
      <c r="H6" t="s">
        <v>50</v>
      </c>
      <c r="I6" t="s">
        <v>69</v>
      </c>
      <c r="J6" t="s">
        <v>83</v>
      </c>
      <c r="K6" t="s">
        <v>84</v>
      </c>
      <c r="L6" t="s">
        <v>81</v>
      </c>
      <c r="M6" t="str">
        <f>_xlfn.XLOOKUP(Application[[#This Row],[Company]],Table1[Company],Table1[Industry])</f>
        <v>IT Services</v>
      </c>
      <c r="N6" t="str">
        <f>_xlfn.XLOOKUP(Application[[#This Row],[Company]],Table1[Company],Table1[Company_Size])</f>
        <v>Large</v>
      </c>
      <c r="O6" t="str">
        <f>TEXT(Application[[#This Row],[Applied_Date]],"mmmm")</f>
        <v>August</v>
      </c>
    </row>
    <row r="7" spans="1:15">
      <c r="A7" t="s">
        <v>90</v>
      </c>
      <c r="B7" t="s">
        <v>14</v>
      </c>
      <c r="C7" t="s">
        <v>33</v>
      </c>
      <c r="D7" t="s">
        <v>44</v>
      </c>
      <c r="E7">
        <v>650000</v>
      </c>
      <c r="F7" s="1">
        <v>46240</v>
      </c>
      <c r="G7" t="s">
        <v>3</v>
      </c>
      <c r="H7" t="s">
        <v>52</v>
      </c>
      <c r="I7" t="s">
        <v>67</v>
      </c>
      <c r="J7" t="s">
        <v>86</v>
      </c>
      <c r="K7" t="s">
        <v>80</v>
      </c>
      <c r="L7" t="s">
        <v>81</v>
      </c>
      <c r="M7" t="str">
        <f>_xlfn.XLOOKUP(Application[[#This Row],[Company]],Table1[Company],Table1[Industry])</f>
        <v>IT Services</v>
      </c>
      <c r="N7" t="str">
        <f>_xlfn.XLOOKUP(Application[[#This Row],[Company]],Table1[Company],Table1[Company_Size])</f>
        <v>Large</v>
      </c>
      <c r="O7" t="str">
        <f>TEXT(Application[[#This Row],[Applied_Date]],"mmmm")</f>
        <v>August</v>
      </c>
    </row>
    <row r="8" spans="1:15">
      <c r="A8" t="s">
        <v>91</v>
      </c>
      <c r="B8" t="s">
        <v>19</v>
      </c>
      <c r="C8" t="s">
        <v>32</v>
      </c>
      <c r="D8" t="s">
        <v>42</v>
      </c>
      <c r="E8">
        <v>550000</v>
      </c>
      <c r="F8" s="1">
        <v>46241</v>
      </c>
      <c r="G8" t="s">
        <v>4</v>
      </c>
      <c r="H8" t="s">
        <v>51</v>
      </c>
      <c r="I8" t="s">
        <v>67</v>
      </c>
      <c r="J8" t="s">
        <v>79</v>
      </c>
      <c r="K8" t="s">
        <v>84</v>
      </c>
      <c r="L8" t="s">
        <v>81</v>
      </c>
      <c r="M8" t="str">
        <f>_xlfn.XLOOKUP(Application[[#This Row],[Company]],Table1[Company],Table1[Industry])</f>
        <v>IT Services</v>
      </c>
      <c r="N8" t="str">
        <f>_xlfn.XLOOKUP(Application[[#This Row],[Company]],Table1[Company],Table1[Company_Size])</f>
        <v>Large</v>
      </c>
      <c r="O8" t="str">
        <f>TEXT(Application[[#This Row],[Applied_Date]],"mmmm")</f>
        <v>August</v>
      </c>
    </row>
    <row r="9" spans="1:15">
      <c r="A9" t="s">
        <v>92</v>
      </c>
      <c r="B9" t="s">
        <v>21</v>
      </c>
      <c r="C9" t="s">
        <v>31</v>
      </c>
      <c r="D9" t="s">
        <v>43</v>
      </c>
      <c r="E9">
        <v>700000</v>
      </c>
      <c r="F9" s="1">
        <v>46242</v>
      </c>
      <c r="G9" t="s">
        <v>5</v>
      </c>
      <c r="H9" t="s">
        <v>50</v>
      </c>
      <c r="I9" t="s">
        <v>69</v>
      </c>
      <c r="J9" t="s">
        <v>83</v>
      </c>
      <c r="K9" t="s">
        <v>87</v>
      </c>
      <c r="L9" t="s">
        <v>81</v>
      </c>
      <c r="M9" t="str">
        <f>_xlfn.XLOOKUP(Application[[#This Row],[Company]],Table1[Company],Table1[Industry])</f>
        <v>Technology</v>
      </c>
      <c r="N9" t="str">
        <f>_xlfn.XLOOKUP(Application[[#This Row],[Company]],Table1[Company],Table1[Company_Size])</f>
        <v>Large</v>
      </c>
      <c r="O9" t="str">
        <f>TEXT(Application[[#This Row],[Applied_Date]],"mmmm")</f>
        <v>August</v>
      </c>
    </row>
    <row r="10" spans="1:15">
      <c r="A10" t="s">
        <v>93</v>
      </c>
      <c r="B10" t="s">
        <v>12</v>
      </c>
      <c r="C10" t="s">
        <v>34</v>
      </c>
      <c r="D10" t="s">
        <v>42</v>
      </c>
      <c r="E10">
        <v>650000</v>
      </c>
      <c r="F10" s="1">
        <v>46243</v>
      </c>
      <c r="G10" t="s">
        <v>6</v>
      </c>
      <c r="H10" t="s">
        <v>52</v>
      </c>
      <c r="I10" t="s">
        <v>67</v>
      </c>
      <c r="J10" t="s">
        <v>86</v>
      </c>
      <c r="K10" t="s">
        <v>94</v>
      </c>
      <c r="L10" t="s">
        <v>81</v>
      </c>
      <c r="M10" t="str">
        <f>_xlfn.XLOOKUP(Application[[#This Row],[Company]],Table1[Company],Table1[Industry])</f>
        <v>Consulting</v>
      </c>
      <c r="N10" t="str">
        <f>_xlfn.XLOOKUP(Application[[#This Row],[Company]],Table1[Company],Table1[Company_Size])</f>
        <v>Large</v>
      </c>
      <c r="O10" t="str">
        <f>TEXT(Application[[#This Row],[Applied_Date]],"mmmm")</f>
        <v>August</v>
      </c>
    </row>
    <row r="11" spans="1:15">
      <c r="A11" t="s">
        <v>95</v>
      </c>
      <c r="B11" t="s">
        <v>22</v>
      </c>
      <c r="C11" t="s">
        <v>33</v>
      </c>
      <c r="D11" t="s">
        <v>44</v>
      </c>
      <c r="E11">
        <v>600000</v>
      </c>
      <c r="F11" s="1">
        <v>46244</v>
      </c>
      <c r="G11" t="s">
        <v>2</v>
      </c>
      <c r="H11" t="s">
        <v>50</v>
      </c>
      <c r="I11" t="s">
        <v>68</v>
      </c>
      <c r="J11" t="s">
        <v>79</v>
      </c>
      <c r="K11" t="s">
        <v>80</v>
      </c>
      <c r="L11" t="s">
        <v>81</v>
      </c>
      <c r="M11" t="str">
        <f>_xlfn.XLOOKUP(Application[[#This Row],[Company]],Table1[Company],Table1[Industry])</f>
        <v>IT Services</v>
      </c>
      <c r="N11" t="str">
        <f>_xlfn.XLOOKUP(Application[[#This Row],[Company]],Table1[Company],Table1[Company_Size])</f>
        <v>Large</v>
      </c>
      <c r="O11" t="str">
        <f>TEXT(Application[[#This Row],[Applied_Date]],"mmmm")</f>
        <v>August</v>
      </c>
    </row>
    <row r="12" spans="1:15">
      <c r="A12" t="s">
        <v>96</v>
      </c>
      <c r="B12" t="s">
        <v>18</v>
      </c>
      <c r="C12" t="s">
        <v>32</v>
      </c>
      <c r="D12" t="s">
        <v>44</v>
      </c>
      <c r="E12">
        <v>550000</v>
      </c>
      <c r="F12" s="1">
        <v>46245</v>
      </c>
      <c r="G12" t="s">
        <v>3</v>
      </c>
      <c r="H12" t="s">
        <v>53</v>
      </c>
      <c r="I12" t="s">
        <v>67</v>
      </c>
      <c r="J12" t="s">
        <v>83</v>
      </c>
      <c r="K12" t="s">
        <v>84</v>
      </c>
      <c r="L12" t="s">
        <v>81</v>
      </c>
      <c r="M12" t="str">
        <f>_xlfn.XLOOKUP(Application[[#This Row],[Company]],Table1[Company],Table1[Industry])</f>
        <v>Software</v>
      </c>
      <c r="N12" t="str">
        <f>_xlfn.XLOOKUP(Application[[#This Row],[Company]],Table1[Company],Table1[Company_Size])</f>
        <v>Medium</v>
      </c>
      <c r="O12" t="str">
        <f>TEXT(Application[[#This Row],[Applied_Date]],"mmmm")</f>
        <v>August</v>
      </c>
    </row>
    <row r="13" spans="1:15">
      <c r="A13" t="s">
        <v>97</v>
      </c>
      <c r="B13" t="s">
        <v>15</v>
      </c>
      <c r="C13" t="s">
        <v>31</v>
      </c>
      <c r="D13" t="s">
        <v>43</v>
      </c>
      <c r="E13">
        <v>750000</v>
      </c>
      <c r="F13" s="1">
        <v>46246</v>
      </c>
      <c r="G13" t="s">
        <v>2</v>
      </c>
      <c r="H13" t="s">
        <v>53</v>
      </c>
      <c r="I13" t="s">
        <v>67</v>
      </c>
      <c r="J13" t="s">
        <v>86</v>
      </c>
      <c r="K13" t="s">
        <v>87</v>
      </c>
      <c r="L13" t="s">
        <v>81</v>
      </c>
      <c r="M13" t="str">
        <f>_xlfn.XLOOKUP(Application[[#This Row],[Company]],Table1[Company],Table1[Industry])</f>
        <v>E-Commerce</v>
      </c>
      <c r="N13" t="str">
        <f>_xlfn.XLOOKUP(Application[[#This Row],[Company]],Table1[Company],Table1[Company_Size])</f>
        <v>Large</v>
      </c>
      <c r="O13" t="str">
        <f>TEXT(Application[[#This Row],[Applied_Date]],"mmmm")</f>
        <v>August</v>
      </c>
    </row>
    <row r="14" spans="1:15">
      <c r="A14" t="s">
        <v>98</v>
      </c>
      <c r="B14" t="s">
        <v>13</v>
      </c>
      <c r="C14" t="s">
        <v>33</v>
      </c>
      <c r="D14" t="s">
        <v>42</v>
      </c>
      <c r="E14">
        <v>850000</v>
      </c>
      <c r="F14" s="1">
        <v>46247</v>
      </c>
      <c r="G14" t="s">
        <v>6</v>
      </c>
      <c r="H14" t="s">
        <v>50</v>
      </c>
      <c r="I14" t="s">
        <v>69</v>
      </c>
      <c r="J14" t="s">
        <v>86</v>
      </c>
      <c r="K14" t="s">
        <v>80</v>
      </c>
      <c r="L14" t="s">
        <v>81</v>
      </c>
      <c r="M14" t="str">
        <f>_xlfn.XLOOKUP(Application[[#This Row],[Company]],Table1[Company],Table1[Industry])</f>
        <v>Technology</v>
      </c>
      <c r="N14" t="str">
        <f>_xlfn.XLOOKUP(Application[[#This Row],[Company]],Table1[Company],Table1[Company_Size])</f>
        <v>Large</v>
      </c>
      <c r="O14" t="str">
        <f>TEXT(Application[[#This Row],[Applied_Date]],"mmmm")</f>
        <v>August</v>
      </c>
    </row>
    <row r="15" spans="1:15">
      <c r="A15" t="s">
        <v>99</v>
      </c>
      <c r="B15" t="s">
        <v>16</v>
      </c>
      <c r="C15" t="s">
        <v>31</v>
      </c>
      <c r="D15" t="s">
        <v>45</v>
      </c>
      <c r="E15">
        <v>700000</v>
      </c>
      <c r="F15" s="1">
        <v>46248</v>
      </c>
      <c r="G15" t="s">
        <v>5</v>
      </c>
      <c r="H15" t="s">
        <v>51</v>
      </c>
      <c r="I15" t="s">
        <v>67</v>
      </c>
      <c r="J15" t="s">
        <v>79</v>
      </c>
      <c r="K15" t="s">
        <v>87</v>
      </c>
      <c r="L15" t="s">
        <v>81</v>
      </c>
      <c r="M15" t="str">
        <f>_xlfn.XLOOKUP(Application[[#This Row],[Company]],Table1[Company],Table1[Industry])</f>
        <v>Technology</v>
      </c>
      <c r="N15" t="str">
        <f>_xlfn.XLOOKUP(Application[[#This Row],[Company]],Table1[Company],Table1[Company_Size])</f>
        <v>Large</v>
      </c>
      <c r="O15" t="str">
        <f>TEXT(Application[[#This Row],[Applied_Date]],"mmmm")</f>
        <v>August</v>
      </c>
    </row>
    <row r="16" spans="1:15">
      <c r="A16" t="s">
        <v>100</v>
      </c>
      <c r="B16" t="s">
        <v>10</v>
      </c>
      <c r="C16" t="s">
        <v>32</v>
      </c>
      <c r="D16" t="s">
        <v>44</v>
      </c>
      <c r="E16">
        <v>600000</v>
      </c>
      <c r="F16" s="1">
        <v>46249</v>
      </c>
      <c r="G16" s="1">
        <v>46249</v>
      </c>
      <c r="H16" t="s">
        <v>50</v>
      </c>
      <c r="I16" t="s">
        <v>68</v>
      </c>
      <c r="J16" t="s">
        <v>83</v>
      </c>
      <c r="K16" t="s">
        <v>80</v>
      </c>
      <c r="L16" t="s">
        <v>81</v>
      </c>
      <c r="M16" t="str">
        <f>_xlfn.XLOOKUP(Application[[#This Row],[Company]],Table1[Company],Table1[Industry])</f>
        <v>Consulting</v>
      </c>
      <c r="N16" t="str">
        <f>_xlfn.XLOOKUP(Application[[#This Row],[Company]],Table1[Company],Table1[Company_Size])</f>
        <v>Large</v>
      </c>
      <c r="O16" t="str">
        <f>TEXT(Application[[#This Row],[Applied_Date]],"mmmm")</f>
        <v>August</v>
      </c>
    </row>
    <row r="17" spans="1:15">
      <c r="A17" t="s">
        <v>101</v>
      </c>
      <c r="B17" t="s">
        <v>9</v>
      </c>
      <c r="C17" t="s">
        <v>33</v>
      </c>
      <c r="D17" t="s">
        <v>42</v>
      </c>
      <c r="E17">
        <v>650000</v>
      </c>
      <c r="F17" s="1">
        <v>46250</v>
      </c>
      <c r="G17" t="s">
        <v>3</v>
      </c>
      <c r="H17" t="s">
        <v>51</v>
      </c>
      <c r="I17" t="s">
        <v>67</v>
      </c>
      <c r="J17" t="s">
        <v>86</v>
      </c>
      <c r="K17" t="s">
        <v>84</v>
      </c>
      <c r="L17" t="s">
        <v>81</v>
      </c>
      <c r="M17" t="str">
        <f>_xlfn.XLOOKUP(Application[[#This Row],[Company]],Table1[Company],Table1[Industry])</f>
        <v>IT Services</v>
      </c>
      <c r="N17" t="str">
        <f>_xlfn.XLOOKUP(Application[[#This Row],[Company]],Table1[Company],Table1[Company_Size])</f>
        <v>Large</v>
      </c>
      <c r="O17" t="str">
        <f>TEXT(Application[[#This Row],[Applied_Date]],"mmmm")</f>
        <v>August</v>
      </c>
    </row>
    <row r="18" spans="1:15">
      <c r="A18" t="s">
        <v>102</v>
      </c>
      <c r="B18" t="s">
        <v>11</v>
      </c>
      <c r="C18" t="s">
        <v>31</v>
      </c>
      <c r="D18" t="s">
        <v>43</v>
      </c>
      <c r="E18">
        <v>620000</v>
      </c>
      <c r="F18" s="1">
        <v>46251</v>
      </c>
      <c r="G18" t="s">
        <v>2</v>
      </c>
      <c r="H18" t="s">
        <v>52</v>
      </c>
      <c r="I18" t="s">
        <v>67</v>
      </c>
      <c r="J18" t="s">
        <v>79</v>
      </c>
      <c r="K18" t="s">
        <v>87</v>
      </c>
      <c r="L18" t="s">
        <v>81</v>
      </c>
      <c r="M18" t="str">
        <f>_xlfn.XLOOKUP(Application[[#This Row],[Company]],Table1[Company],Table1[Industry])</f>
        <v>Fintech</v>
      </c>
      <c r="N18" t="str">
        <f>_xlfn.XLOOKUP(Application[[#This Row],[Company]],Table1[Company],Table1[Company_Size])</f>
        <v>Large</v>
      </c>
      <c r="O18" t="str">
        <f>TEXT(Application[[#This Row],[Applied_Date]],"mmmm")</f>
        <v>August</v>
      </c>
    </row>
    <row r="19" spans="1:15">
      <c r="A19" t="s">
        <v>103</v>
      </c>
      <c r="B19" t="s">
        <v>20</v>
      </c>
      <c r="C19" t="s">
        <v>34</v>
      </c>
      <c r="D19" t="s">
        <v>44</v>
      </c>
      <c r="E19">
        <v>580000</v>
      </c>
      <c r="F19" s="1">
        <v>46252</v>
      </c>
      <c r="G19" t="s">
        <v>6</v>
      </c>
      <c r="H19" t="s">
        <v>50</v>
      </c>
      <c r="I19" t="s">
        <v>69</v>
      </c>
      <c r="J19" t="s">
        <v>83</v>
      </c>
      <c r="K19" t="s">
        <v>80</v>
      </c>
      <c r="L19" t="s">
        <v>81</v>
      </c>
      <c r="M19" t="str">
        <f>_xlfn.XLOOKUP(Application[[#This Row],[Company]],Table1[Company],Table1[Industry])</f>
        <v>IT Services</v>
      </c>
      <c r="N19" t="str">
        <f>_xlfn.XLOOKUP(Application[[#This Row],[Company]],Table1[Company],Table1[Company_Size])</f>
        <v>Large</v>
      </c>
      <c r="O19" t="str">
        <f>TEXT(Application[[#This Row],[Applied_Date]],"mmmm")</f>
        <v>August</v>
      </c>
    </row>
    <row r="20" spans="1:15">
      <c r="A20" t="s">
        <v>104</v>
      </c>
      <c r="B20" t="s">
        <v>17</v>
      </c>
      <c r="C20" t="s">
        <v>32</v>
      </c>
      <c r="D20" t="s">
        <v>42</v>
      </c>
      <c r="E20">
        <v>520000</v>
      </c>
      <c r="F20" s="1">
        <v>46253</v>
      </c>
      <c r="G20" t="s">
        <v>5</v>
      </c>
      <c r="H20" t="s">
        <v>51</v>
      </c>
      <c r="I20" t="s">
        <v>67</v>
      </c>
      <c r="J20" t="s">
        <v>79</v>
      </c>
      <c r="K20" t="s">
        <v>84</v>
      </c>
      <c r="L20" t="s">
        <v>81</v>
      </c>
      <c r="M20" t="str">
        <f>_xlfn.XLOOKUP(Application[[#This Row],[Company]],Table1[Company],Table1[Industry])</f>
        <v>IT Services</v>
      </c>
      <c r="N20" t="str">
        <f>_xlfn.XLOOKUP(Application[[#This Row],[Company]],Table1[Company],Table1[Company_Size])</f>
        <v>Large</v>
      </c>
      <c r="O20" t="str">
        <f>TEXT(Application[[#This Row],[Applied_Date]],"mmmm")</f>
        <v>August</v>
      </c>
    </row>
    <row r="21" spans="1:15">
      <c r="A21" t="s">
        <v>105</v>
      </c>
      <c r="B21" t="s">
        <v>14</v>
      </c>
      <c r="C21" t="s">
        <v>31</v>
      </c>
      <c r="D21" t="s">
        <v>45</v>
      </c>
      <c r="E21">
        <v>600000</v>
      </c>
      <c r="F21" s="1">
        <v>46254</v>
      </c>
      <c r="G21" t="s">
        <v>3</v>
      </c>
      <c r="H21" t="s">
        <v>52</v>
      </c>
      <c r="I21" t="s">
        <v>68</v>
      </c>
      <c r="J21" t="s">
        <v>86</v>
      </c>
      <c r="K21" t="s">
        <v>87</v>
      </c>
      <c r="L21" t="s">
        <v>81</v>
      </c>
      <c r="M21" t="str">
        <f>_xlfn.XLOOKUP(Application[[#This Row],[Company]],Table1[Company],Table1[Industry])</f>
        <v>IT Services</v>
      </c>
      <c r="N21" t="str">
        <f>_xlfn.XLOOKUP(Application[[#This Row],[Company]],Table1[Company],Table1[Company_Size])</f>
        <v>Large</v>
      </c>
      <c r="O21" t="str">
        <f>TEXT(Application[[#This Row],[Applied_Date]],"mmmm")</f>
        <v>August</v>
      </c>
    </row>
    <row r="22" spans="1:15">
      <c r="A22" t="s">
        <v>106</v>
      </c>
      <c r="B22" t="s">
        <v>19</v>
      </c>
      <c r="C22" t="s">
        <v>33</v>
      </c>
      <c r="D22" t="s">
        <v>43</v>
      </c>
      <c r="E22">
        <v>680000</v>
      </c>
      <c r="F22" s="1">
        <v>46255</v>
      </c>
      <c r="G22" t="s">
        <v>2</v>
      </c>
      <c r="H22" t="s">
        <v>50</v>
      </c>
      <c r="I22" t="s">
        <v>67</v>
      </c>
      <c r="J22" t="s">
        <v>83</v>
      </c>
      <c r="K22" t="s">
        <v>80</v>
      </c>
      <c r="L22" t="s">
        <v>81</v>
      </c>
      <c r="M22" t="str">
        <f>_xlfn.XLOOKUP(Application[[#This Row],[Company]],Table1[Company],Table1[Industry])</f>
        <v>IT Services</v>
      </c>
      <c r="N22" t="str">
        <f>_xlfn.XLOOKUP(Application[[#This Row],[Company]],Table1[Company],Table1[Company_Size])</f>
        <v>Large</v>
      </c>
      <c r="O22" t="str">
        <f>TEXT(Application[[#This Row],[Applied_Date]],"mmmm")</f>
        <v>August</v>
      </c>
    </row>
    <row r="23" spans="1:15">
      <c r="A23" t="s">
        <v>107</v>
      </c>
      <c r="B23" t="s">
        <v>21</v>
      </c>
      <c r="C23" t="s">
        <v>32</v>
      </c>
      <c r="D23" t="s">
        <v>44</v>
      </c>
      <c r="E23">
        <v>570000</v>
      </c>
      <c r="F23" s="1">
        <v>46256</v>
      </c>
      <c r="G23" t="s">
        <v>2</v>
      </c>
      <c r="H23" t="s">
        <v>51</v>
      </c>
      <c r="I23" t="s">
        <v>69</v>
      </c>
      <c r="J23" t="s">
        <v>79</v>
      </c>
      <c r="K23" t="s">
        <v>84</v>
      </c>
      <c r="L23" t="s">
        <v>81</v>
      </c>
      <c r="M23" t="str">
        <f>_xlfn.XLOOKUP(Application[[#This Row],[Company]],Table1[Company],Table1[Industry])</f>
        <v>Technology</v>
      </c>
      <c r="N23" t="str">
        <f>_xlfn.XLOOKUP(Application[[#This Row],[Company]],Table1[Company],Table1[Company_Size])</f>
        <v>Large</v>
      </c>
      <c r="O23" t="str">
        <f>TEXT(Application[[#This Row],[Applied_Date]],"mmmm")</f>
        <v>August</v>
      </c>
    </row>
    <row r="24" spans="1:15">
      <c r="A24" t="s">
        <v>108</v>
      </c>
      <c r="B24" t="s">
        <v>12</v>
      </c>
      <c r="C24" t="s">
        <v>31</v>
      </c>
      <c r="D24" t="s">
        <v>42</v>
      </c>
      <c r="E24">
        <v>720000</v>
      </c>
      <c r="F24" s="1">
        <v>46257</v>
      </c>
      <c r="G24" t="s">
        <v>3</v>
      </c>
      <c r="H24" t="s">
        <v>52</v>
      </c>
      <c r="I24" t="s">
        <v>67</v>
      </c>
      <c r="J24" t="s">
        <v>86</v>
      </c>
      <c r="K24" t="s">
        <v>94</v>
      </c>
      <c r="L24" t="s">
        <v>81</v>
      </c>
      <c r="M24" t="str">
        <f>_xlfn.XLOOKUP(Application[[#This Row],[Company]],Table1[Company],Table1[Industry])</f>
        <v>Consulting</v>
      </c>
      <c r="N24" t="str">
        <f>_xlfn.XLOOKUP(Application[[#This Row],[Company]],Table1[Company],Table1[Company_Size])</f>
        <v>Large</v>
      </c>
      <c r="O24" t="str">
        <f>TEXT(Application[[#This Row],[Applied_Date]],"mmmm")</f>
        <v>August</v>
      </c>
    </row>
    <row r="25" spans="1:15">
      <c r="A25" t="s">
        <v>109</v>
      </c>
      <c r="B25" t="s">
        <v>22</v>
      </c>
      <c r="C25" t="s">
        <v>32</v>
      </c>
      <c r="D25" t="s">
        <v>45</v>
      </c>
      <c r="E25">
        <v>530000</v>
      </c>
      <c r="F25" s="1">
        <v>46258</v>
      </c>
      <c r="G25" t="s">
        <v>5</v>
      </c>
      <c r="H25" t="s">
        <v>50</v>
      </c>
      <c r="I25" t="s">
        <v>68</v>
      </c>
      <c r="J25" t="s">
        <v>79</v>
      </c>
      <c r="K25" t="s">
        <v>80</v>
      </c>
      <c r="L25" t="s">
        <v>81</v>
      </c>
      <c r="M25" t="str">
        <f>_xlfn.XLOOKUP(Application[[#This Row],[Company]],Table1[Company],Table1[Industry])</f>
        <v>IT Services</v>
      </c>
      <c r="N25" t="str">
        <f>_xlfn.XLOOKUP(Application[[#This Row],[Company]],Table1[Company],Table1[Company_Size])</f>
        <v>Large</v>
      </c>
      <c r="O25" t="str">
        <f>TEXT(Application[[#This Row],[Applied_Date]],"mmmm")</f>
        <v>August</v>
      </c>
    </row>
    <row r="26" spans="1:15">
      <c r="A26" t="s">
        <v>110</v>
      </c>
      <c r="B26" t="s">
        <v>18</v>
      </c>
      <c r="C26" t="s">
        <v>33</v>
      </c>
      <c r="D26" t="s">
        <v>44</v>
      </c>
      <c r="E26">
        <v>650000</v>
      </c>
      <c r="F26" s="1">
        <v>46259</v>
      </c>
      <c r="G26" t="s">
        <v>4</v>
      </c>
      <c r="H26" t="s">
        <v>53</v>
      </c>
      <c r="I26" t="s">
        <v>67</v>
      </c>
      <c r="J26" t="s">
        <v>86</v>
      </c>
      <c r="K26" t="s">
        <v>80</v>
      </c>
      <c r="L26" t="s">
        <v>81</v>
      </c>
      <c r="M26" t="str">
        <f>_xlfn.XLOOKUP(Application[[#This Row],[Company]],Table1[Company],Table1[Industry])</f>
        <v>Software</v>
      </c>
      <c r="N26" t="str">
        <f>_xlfn.XLOOKUP(Application[[#This Row],[Company]],Table1[Company],Table1[Company_Size])</f>
        <v>Medium</v>
      </c>
      <c r="O26" t="str">
        <f>TEXT(Application[[#This Row],[Applied_Date]],"mmmm")</f>
        <v>August</v>
      </c>
    </row>
    <row r="27" spans="1:15">
      <c r="A27" t="s">
        <v>111</v>
      </c>
      <c r="B27" t="s">
        <v>15</v>
      </c>
      <c r="C27" t="s">
        <v>32</v>
      </c>
      <c r="D27" t="s">
        <v>43</v>
      </c>
      <c r="E27">
        <v>700000</v>
      </c>
      <c r="F27" s="1">
        <v>46260</v>
      </c>
      <c r="G27" t="s">
        <v>6</v>
      </c>
      <c r="H27" t="s">
        <v>50</v>
      </c>
      <c r="I27" t="s">
        <v>69</v>
      </c>
      <c r="J27" t="s">
        <v>83</v>
      </c>
      <c r="K27" t="s">
        <v>84</v>
      </c>
      <c r="L27" t="s">
        <v>81</v>
      </c>
      <c r="M27" t="str">
        <f>_xlfn.XLOOKUP(Application[[#This Row],[Company]],Table1[Company],Table1[Industry])</f>
        <v>E-Commerce</v>
      </c>
      <c r="N27" t="str">
        <f>_xlfn.XLOOKUP(Application[[#This Row],[Company]],Table1[Company],Table1[Company_Size])</f>
        <v>Large</v>
      </c>
      <c r="O27" t="str">
        <f>TEXT(Application[[#This Row],[Applied_Date]],"mmmm")</f>
        <v>August</v>
      </c>
    </row>
    <row r="28" spans="1:15">
      <c r="A28" t="s">
        <v>112</v>
      </c>
      <c r="B28" t="s">
        <v>13</v>
      </c>
      <c r="C28" t="s">
        <v>31</v>
      </c>
      <c r="D28" t="s">
        <v>42</v>
      </c>
      <c r="E28">
        <v>800000</v>
      </c>
      <c r="F28" s="1">
        <v>46261</v>
      </c>
      <c r="G28" t="s">
        <v>3</v>
      </c>
      <c r="H28" t="s">
        <v>53</v>
      </c>
      <c r="I28" t="s">
        <v>67</v>
      </c>
      <c r="J28" t="s">
        <v>86</v>
      </c>
      <c r="K28" t="s">
        <v>94</v>
      </c>
      <c r="L28" t="s">
        <v>81</v>
      </c>
      <c r="M28" t="str">
        <f>_xlfn.XLOOKUP(Application[[#This Row],[Company]],Table1[Company],Table1[Industry])</f>
        <v>Technology</v>
      </c>
      <c r="N28" t="str">
        <f>_xlfn.XLOOKUP(Application[[#This Row],[Company]],Table1[Company],Table1[Company_Size])</f>
        <v>Large</v>
      </c>
      <c r="O28" t="str">
        <f>TEXT(Application[[#This Row],[Applied_Date]],"mmmm")</f>
        <v>August</v>
      </c>
    </row>
    <row r="29" spans="1:15">
      <c r="A29" t="s">
        <v>113</v>
      </c>
      <c r="B29" t="s">
        <v>16</v>
      </c>
      <c r="C29" t="s">
        <v>34</v>
      </c>
      <c r="D29" t="s">
        <v>45</v>
      </c>
      <c r="E29">
        <v>680000</v>
      </c>
      <c r="F29" s="1">
        <v>46262</v>
      </c>
      <c r="G29" t="s">
        <v>2</v>
      </c>
      <c r="H29" t="s">
        <v>51</v>
      </c>
      <c r="I29" t="s">
        <v>67</v>
      </c>
      <c r="J29" t="s">
        <v>79</v>
      </c>
      <c r="K29" t="s">
        <v>80</v>
      </c>
      <c r="L29" t="s">
        <v>81</v>
      </c>
      <c r="M29" t="str">
        <f>_xlfn.XLOOKUP(Application[[#This Row],[Company]],Table1[Company],Table1[Industry])</f>
        <v>Technology</v>
      </c>
      <c r="N29" t="str">
        <f>_xlfn.XLOOKUP(Application[[#This Row],[Company]],Table1[Company],Table1[Company_Size])</f>
        <v>Large</v>
      </c>
      <c r="O29" t="str">
        <f>TEXT(Application[[#This Row],[Applied_Date]],"mmmm")</f>
        <v>August</v>
      </c>
    </row>
    <row r="30" spans="1:15">
      <c r="A30" t="s">
        <v>114</v>
      </c>
      <c r="B30" t="s">
        <v>11</v>
      </c>
      <c r="C30" t="s">
        <v>32</v>
      </c>
      <c r="D30" t="s">
        <v>44</v>
      </c>
      <c r="E30">
        <v>620000</v>
      </c>
      <c r="F30" s="1">
        <v>46263</v>
      </c>
      <c r="G30" t="s">
        <v>6</v>
      </c>
      <c r="H30" t="s">
        <v>50</v>
      </c>
      <c r="I30" t="s">
        <v>68</v>
      </c>
      <c r="J30" t="s">
        <v>83</v>
      </c>
      <c r="K30" t="s">
        <v>84</v>
      </c>
      <c r="L30" t="s">
        <v>81</v>
      </c>
      <c r="M30" t="str">
        <f>_xlfn.XLOOKUP(Application[[#This Row],[Company]],Table1[Company],Table1[Industry])</f>
        <v>Fintech</v>
      </c>
      <c r="N30" t="str">
        <f>_xlfn.XLOOKUP(Application[[#This Row],[Company]],Table1[Company],Table1[Company_Size])</f>
        <v>Large</v>
      </c>
      <c r="O30" t="str">
        <f>TEXT(Application[[#This Row],[Applied_Date]],"mmmm")</f>
        <v>August</v>
      </c>
    </row>
    <row r="31" spans="1:15">
      <c r="A31" t="s">
        <v>115</v>
      </c>
      <c r="B31" t="s">
        <v>9</v>
      </c>
      <c r="C31" t="s">
        <v>31</v>
      </c>
      <c r="D31" t="s">
        <v>42</v>
      </c>
      <c r="E31">
        <v>580000</v>
      </c>
      <c r="F31" s="1">
        <v>46264</v>
      </c>
      <c r="G31" t="s">
        <v>5</v>
      </c>
      <c r="H31" t="s">
        <v>51</v>
      </c>
      <c r="I31" t="s">
        <v>67</v>
      </c>
      <c r="J31" t="s">
        <v>79</v>
      </c>
      <c r="K31" t="s">
        <v>87</v>
      </c>
      <c r="L31" t="s">
        <v>81</v>
      </c>
      <c r="M31" t="str">
        <f>_xlfn.XLOOKUP(Application[[#This Row],[Company]],Table1[Company],Table1[Industry])</f>
        <v>IT Services</v>
      </c>
      <c r="N31" t="str">
        <f>_xlfn.XLOOKUP(Application[[#This Row],[Company]],Table1[Company],Table1[Company_Size])</f>
        <v>Large</v>
      </c>
      <c r="O31" t="str">
        <f>TEXT(Application[[#This Row],[Applied_Date]],"mmmm")</f>
        <v>August</v>
      </c>
    </row>
    <row r="32" spans="1:15">
      <c r="A32" t="s">
        <v>116</v>
      </c>
      <c r="B32" t="s">
        <v>10</v>
      </c>
      <c r="C32" t="s">
        <v>33</v>
      </c>
      <c r="D32" t="s">
        <v>43</v>
      </c>
      <c r="E32">
        <v>700000</v>
      </c>
      <c r="F32" s="1">
        <v>46265</v>
      </c>
      <c r="G32" t="s">
        <v>2</v>
      </c>
      <c r="H32" t="s">
        <v>52</v>
      </c>
      <c r="I32" t="s">
        <v>69</v>
      </c>
      <c r="J32" t="s">
        <v>86</v>
      </c>
      <c r="K32" t="s">
        <v>80</v>
      </c>
      <c r="L32" t="s">
        <v>81</v>
      </c>
      <c r="M32" t="str">
        <f>_xlfn.XLOOKUP(Application[[#This Row],[Company]],Table1[Company],Table1[Industry])</f>
        <v>Consulting</v>
      </c>
      <c r="N32" t="str">
        <f>_xlfn.XLOOKUP(Application[[#This Row],[Company]],Table1[Company],Table1[Company_Size])</f>
        <v>Large</v>
      </c>
      <c r="O32" t="str">
        <f>TEXT(Application[[#This Row],[Applied_Date]],"mmmm")</f>
        <v>August</v>
      </c>
    </row>
    <row r="33" spans="1:15">
      <c r="A33" t="s">
        <v>117</v>
      </c>
      <c r="B33" t="s">
        <v>20</v>
      </c>
      <c r="C33" t="s">
        <v>31</v>
      </c>
      <c r="D33" t="s">
        <v>44</v>
      </c>
      <c r="E33">
        <v>550000</v>
      </c>
      <c r="F33" s="1">
        <v>46266</v>
      </c>
      <c r="G33" t="s">
        <v>3</v>
      </c>
      <c r="H33" t="s">
        <v>50</v>
      </c>
      <c r="I33" t="s">
        <v>67</v>
      </c>
      <c r="J33" t="s">
        <v>83</v>
      </c>
      <c r="K33" t="s">
        <v>87</v>
      </c>
      <c r="L33" t="s">
        <v>81</v>
      </c>
      <c r="M33" t="str">
        <f>_xlfn.XLOOKUP(Application[[#This Row],[Company]],Table1[Company],Table1[Industry])</f>
        <v>IT Services</v>
      </c>
      <c r="N33" t="str">
        <f>_xlfn.XLOOKUP(Application[[#This Row],[Company]],Table1[Company],Table1[Company_Size])</f>
        <v>Large</v>
      </c>
      <c r="O33" t="str">
        <f>TEXT(Application[[#This Row],[Applied_Date]],"mmmm")</f>
        <v>September</v>
      </c>
    </row>
    <row r="34" spans="1:15">
      <c r="A34" t="s">
        <v>118</v>
      </c>
      <c r="B34" t="s">
        <v>17</v>
      </c>
      <c r="C34" t="s">
        <v>34</v>
      </c>
      <c r="D34" t="s">
        <v>42</v>
      </c>
      <c r="E34">
        <v>600000</v>
      </c>
      <c r="F34" s="1">
        <v>46267</v>
      </c>
      <c r="G34" t="s">
        <v>2</v>
      </c>
      <c r="H34" t="s">
        <v>51</v>
      </c>
      <c r="I34" t="s">
        <v>67</v>
      </c>
      <c r="J34" t="s">
        <v>79</v>
      </c>
      <c r="K34" t="s">
        <v>94</v>
      </c>
      <c r="L34" t="s">
        <v>81</v>
      </c>
      <c r="M34" t="str">
        <f>_xlfn.XLOOKUP(Application[[#This Row],[Company]],Table1[Company],Table1[Industry])</f>
        <v>IT Services</v>
      </c>
      <c r="N34" t="str">
        <f>_xlfn.XLOOKUP(Application[[#This Row],[Company]],Table1[Company],Table1[Company_Size])</f>
        <v>Large</v>
      </c>
      <c r="O34" t="str">
        <f>TEXT(Application[[#This Row],[Applied_Date]],"mmmm")</f>
        <v>September</v>
      </c>
    </row>
    <row r="35" spans="1:15">
      <c r="A35" t="s">
        <v>119</v>
      </c>
      <c r="B35" t="s">
        <v>14</v>
      </c>
      <c r="C35" t="s">
        <v>32</v>
      </c>
      <c r="D35" t="s">
        <v>43</v>
      </c>
      <c r="E35">
        <v>650000</v>
      </c>
      <c r="F35" s="1">
        <v>46268</v>
      </c>
      <c r="G35" t="s">
        <v>6</v>
      </c>
      <c r="H35" t="s">
        <v>52</v>
      </c>
      <c r="I35" t="s">
        <v>69</v>
      </c>
      <c r="J35" t="s">
        <v>86</v>
      </c>
      <c r="K35" t="s">
        <v>84</v>
      </c>
      <c r="L35" t="s">
        <v>81</v>
      </c>
      <c r="M35" t="str">
        <f>_xlfn.XLOOKUP(Application[[#This Row],[Company]],Table1[Company],Table1[Industry])</f>
        <v>IT Services</v>
      </c>
      <c r="N35" t="str">
        <f>_xlfn.XLOOKUP(Application[[#This Row],[Company]],Table1[Company],Table1[Company_Size])</f>
        <v>Large</v>
      </c>
      <c r="O35" t="str">
        <f>TEXT(Application[[#This Row],[Applied_Date]],"mmmm")</f>
        <v>September</v>
      </c>
    </row>
    <row r="36" spans="1:15">
      <c r="A36" t="s">
        <v>120</v>
      </c>
      <c r="B36" t="s">
        <v>19</v>
      </c>
      <c r="C36" t="s">
        <v>31</v>
      </c>
      <c r="D36" t="s">
        <v>44</v>
      </c>
      <c r="E36">
        <v>590000</v>
      </c>
      <c r="F36" s="1">
        <v>46269</v>
      </c>
      <c r="G36" t="s">
        <v>5</v>
      </c>
      <c r="H36" t="s">
        <v>50</v>
      </c>
      <c r="I36" t="s">
        <v>68</v>
      </c>
      <c r="J36" t="s">
        <v>79</v>
      </c>
      <c r="K36" t="s">
        <v>87</v>
      </c>
      <c r="L36" t="s">
        <v>81</v>
      </c>
      <c r="M36" t="str">
        <f>_xlfn.XLOOKUP(Application[[#This Row],[Company]],Table1[Company],Table1[Industry])</f>
        <v>IT Services</v>
      </c>
      <c r="N36" t="str">
        <f>_xlfn.XLOOKUP(Application[[#This Row],[Company]],Table1[Company],Table1[Company_Size])</f>
        <v>Large</v>
      </c>
      <c r="O36" t="str">
        <f>TEXT(Application[[#This Row],[Applied_Date]],"mmmm")</f>
        <v>September</v>
      </c>
    </row>
    <row r="37" spans="1:15">
      <c r="A37" t="s">
        <v>121</v>
      </c>
      <c r="B37" t="s">
        <v>21</v>
      </c>
      <c r="C37" t="s">
        <v>33</v>
      </c>
      <c r="D37" t="s">
        <v>42</v>
      </c>
      <c r="E37">
        <v>720000</v>
      </c>
      <c r="F37" s="1">
        <v>46270</v>
      </c>
      <c r="G37" t="s">
        <v>3</v>
      </c>
      <c r="H37" t="s">
        <v>51</v>
      </c>
      <c r="I37" t="s">
        <v>67</v>
      </c>
      <c r="J37" t="s">
        <v>86</v>
      </c>
      <c r="K37" t="s">
        <v>80</v>
      </c>
      <c r="L37" t="s">
        <v>81</v>
      </c>
      <c r="M37" t="str">
        <f>_xlfn.XLOOKUP(Application[[#This Row],[Company]],Table1[Company],Table1[Industry])</f>
        <v>Technology</v>
      </c>
      <c r="N37" t="str">
        <f>_xlfn.XLOOKUP(Application[[#This Row],[Company]],Table1[Company],Table1[Company_Size])</f>
        <v>Large</v>
      </c>
      <c r="O37" t="str">
        <f>TEXT(Application[[#This Row],[Applied_Date]],"mmmm")</f>
        <v>September</v>
      </c>
    </row>
    <row r="38" spans="1:15">
      <c r="A38" t="s">
        <v>122</v>
      </c>
      <c r="B38" t="s">
        <v>12</v>
      </c>
      <c r="C38" t="s">
        <v>32</v>
      </c>
      <c r="D38" t="s">
        <v>43</v>
      </c>
      <c r="E38">
        <v>680000</v>
      </c>
      <c r="F38" s="1">
        <v>46271</v>
      </c>
      <c r="G38" t="s">
        <v>2</v>
      </c>
      <c r="H38" t="s">
        <v>52</v>
      </c>
      <c r="I38" t="s">
        <v>69</v>
      </c>
      <c r="J38" t="s">
        <v>83</v>
      </c>
      <c r="K38" t="s">
        <v>84</v>
      </c>
      <c r="L38" t="s">
        <v>81</v>
      </c>
      <c r="M38" t="str">
        <f>_xlfn.XLOOKUP(Application[[#This Row],[Company]],Table1[Company],Table1[Industry])</f>
        <v>Consulting</v>
      </c>
      <c r="N38" t="str">
        <f>_xlfn.XLOOKUP(Application[[#This Row],[Company]],Table1[Company],Table1[Company_Size])</f>
        <v>Large</v>
      </c>
      <c r="O38" t="str">
        <f>TEXT(Application[[#This Row],[Applied_Date]],"mmmm")</f>
        <v>September</v>
      </c>
    </row>
    <row r="39" spans="1:15">
      <c r="A39" t="s">
        <v>123</v>
      </c>
      <c r="B39" t="s">
        <v>22</v>
      </c>
      <c r="C39" t="s">
        <v>31</v>
      </c>
      <c r="D39" t="s">
        <v>45</v>
      </c>
      <c r="E39">
        <v>560000</v>
      </c>
      <c r="F39" s="1">
        <v>46272</v>
      </c>
      <c r="G39" t="s">
        <v>2</v>
      </c>
      <c r="H39" t="s">
        <v>50</v>
      </c>
      <c r="I39" t="s">
        <v>67</v>
      </c>
      <c r="J39" t="s">
        <v>79</v>
      </c>
      <c r="K39" t="s">
        <v>87</v>
      </c>
      <c r="L39" t="s">
        <v>81</v>
      </c>
      <c r="M39" t="str">
        <f>_xlfn.XLOOKUP(Application[[#This Row],[Company]],Table1[Company],Table1[Industry])</f>
        <v>IT Services</v>
      </c>
      <c r="N39" t="str">
        <f>_xlfn.XLOOKUP(Application[[#This Row],[Company]],Table1[Company],Table1[Company_Size])</f>
        <v>Large</v>
      </c>
      <c r="O39" t="str">
        <f>TEXT(Application[[#This Row],[Applied_Date]],"mmmm")</f>
        <v>September</v>
      </c>
    </row>
    <row r="40" spans="1:15">
      <c r="A40" t="s">
        <v>124</v>
      </c>
      <c r="B40" t="s">
        <v>18</v>
      </c>
      <c r="C40" t="s">
        <v>34</v>
      </c>
      <c r="D40" t="s">
        <v>44</v>
      </c>
      <c r="E40">
        <v>610000</v>
      </c>
      <c r="F40" s="1">
        <v>46273</v>
      </c>
      <c r="G40" t="s">
        <v>6</v>
      </c>
      <c r="H40" t="s">
        <v>53</v>
      </c>
      <c r="I40" t="s">
        <v>68</v>
      </c>
      <c r="J40" t="s">
        <v>83</v>
      </c>
      <c r="K40" t="s">
        <v>80</v>
      </c>
      <c r="L40" t="s">
        <v>81</v>
      </c>
      <c r="M40" t="str">
        <f>_xlfn.XLOOKUP(Application[[#This Row],[Company]],Table1[Company],Table1[Industry])</f>
        <v>Software</v>
      </c>
      <c r="N40" t="str">
        <f>_xlfn.XLOOKUP(Application[[#This Row],[Company]],Table1[Company],Table1[Company_Size])</f>
        <v>Medium</v>
      </c>
      <c r="O40" t="str">
        <f>TEXT(Application[[#This Row],[Applied_Date]],"mmmm")</f>
        <v>September</v>
      </c>
    </row>
    <row r="41" spans="1:15">
      <c r="A41" t="s">
        <v>125</v>
      </c>
      <c r="B41" t="s">
        <v>15</v>
      </c>
      <c r="C41" t="s">
        <v>33</v>
      </c>
      <c r="D41" t="s">
        <v>42</v>
      </c>
      <c r="E41">
        <v>850000</v>
      </c>
      <c r="F41" s="1">
        <v>46274</v>
      </c>
      <c r="G41" t="s">
        <v>3</v>
      </c>
      <c r="H41" t="s">
        <v>53</v>
      </c>
      <c r="I41" t="s">
        <v>67</v>
      </c>
      <c r="J41" t="s">
        <v>86</v>
      </c>
      <c r="K41" t="s">
        <v>80</v>
      </c>
      <c r="L41" t="s">
        <v>81</v>
      </c>
      <c r="M41" t="str">
        <f>_xlfn.XLOOKUP(Application[[#This Row],[Company]],Table1[Company],Table1[Industry])</f>
        <v>E-Commerce</v>
      </c>
      <c r="N41" t="str">
        <f>_xlfn.XLOOKUP(Application[[#This Row],[Company]],Table1[Company],Table1[Company_Size])</f>
        <v>Large</v>
      </c>
      <c r="O41" t="str">
        <f>TEXT(Application[[#This Row],[Applied_Date]],"mmmm")</f>
        <v>September</v>
      </c>
    </row>
    <row r="42" spans="1:15">
      <c r="A42" t="s">
        <v>126</v>
      </c>
      <c r="B42" t="s">
        <v>13</v>
      </c>
      <c r="C42" t="s">
        <v>32</v>
      </c>
      <c r="D42" t="s">
        <v>43</v>
      </c>
      <c r="E42">
        <v>780000</v>
      </c>
      <c r="F42" s="1">
        <v>46275</v>
      </c>
      <c r="G42" t="s">
        <v>2</v>
      </c>
      <c r="H42" t="s">
        <v>50</v>
      </c>
      <c r="I42" t="s">
        <v>69</v>
      </c>
      <c r="J42" t="s">
        <v>83</v>
      </c>
      <c r="K42" t="s">
        <v>84</v>
      </c>
      <c r="L42" t="s">
        <v>81</v>
      </c>
      <c r="M42" t="str">
        <f>_xlfn.XLOOKUP(Application[[#This Row],[Company]],Table1[Company],Table1[Industry])</f>
        <v>Technology</v>
      </c>
      <c r="N42" t="str">
        <f>_xlfn.XLOOKUP(Application[[#This Row],[Company]],Table1[Company],Table1[Company_Size])</f>
        <v>Large</v>
      </c>
      <c r="O42" t="str">
        <f>TEXT(Application[[#This Row],[Applied_Date]],"mmmm")</f>
        <v>September</v>
      </c>
    </row>
    <row r="43" spans="1:15">
      <c r="A43" t="s">
        <v>127</v>
      </c>
      <c r="B43" t="s">
        <v>16</v>
      </c>
      <c r="C43" t="s">
        <v>31</v>
      </c>
      <c r="D43" t="s">
        <v>44</v>
      </c>
      <c r="E43">
        <v>690000</v>
      </c>
      <c r="F43" s="1">
        <v>46276</v>
      </c>
      <c r="G43" t="s">
        <v>5</v>
      </c>
      <c r="H43" t="s">
        <v>51</v>
      </c>
      <c r="I43" t="s">
        <v>67</v>
      </c>
      <c r="J43" t="s">
        <v>79</v>
      </c>
      <c r="K43" t="s">
        <v>87</v>
      </c>
      <c r="L43" t="s">
        <v>81</v>
      </c>
      <c r="M43" t="str">
        <f>_xlfn.XLOOKUP(Application[[#This Row],[Company]],Table1[Company],Table1[Industry])</f>
        <v>Technology</v>
      </c>
      <c r="N43" t="str">
        <f>_xlfn.XLOOKUP(Application[[#This Row],[Company]],Table1[Company],Table1[Company_Size])</f>
        <v>Large</v>
      </c>
      <c r="O43" t="str">
        <f>TEXT(Application[[#This Row],[Applied_Date]],"mmmm")</f>
        <v>September</v>
      </c>
    </row>
    <row r="44" spans="1:15">
      <c r="A44" t="s">
        <v>128</v>
      </c>
      <c r="B44" t="s">
        <v>11</v>
      </c>
      <c r="C44" t="s">
        <v>33</v>
      </c>
      <c r="D44" t="s">
        <v>42</v>
      </c>
      <c r="E44">
        <v>750000</v>
      </c>
      <c r="F44" s="1">
        <v>46277</v>
      </c>
      <c r="G44" t="s">
        <v>6</v>
      </c>
      <c r="H44" t="s">
        <v>52</v>
      </c>
      <c r="I44" t="s">
        <v>67</v>
      </c>
      <c r="J44" t="s">
        <v>86</v>
      </c>
      <c r="K44" t="s">
        <v>80</v>
      </c>
      <c r="L44" t="s">
        <v>81</v>
      </c>
      <c r="M44" t="str">
        <f>_xlfn.XLOOKUP(Application[[#This Row],[Company]],Table1[Company],Table1[Industry])</f>
        <v>Fintech</v>
      </c>
      <c r="N44" t="str">
        <f>_xlfn.XLOOKUP(Application[[#This Row],[Company]],Table1[Company],Table1[Company_Size])</f>
        <v>Large</v>
      </c>
      <c r="O44" t="str">
        <f>TEXT(Application[[#This Row],[Applied_Date]],"mmmm")</f>
        <v>September</v>
      </c>
    </row>
    <row r="45" spans="1:15">
      <c r="A45" t="s">
        <v>129</v>
      </c>
      <c r="B45" t="s">
        <v>9</v>
      </c>
      <c r="C45" t="s">
        <v>32</v>
      </c>
      <c r="D45" t="s">
        <v>45</v>
      </c>
      <c r="E45">
        <v>510000</v>
      </c>
      <c r="F45" s="1">
        <v>46278</v>
      </c>
      <c r="G45" t="s">
        <v>2</v>
      </c>
      <c r="H45" t="s">
        <v>50</v>
      </c>
      <c r="I45" t="s">
        <v>68</v>
      </c>
      <c r="J45" t="s">
        <v>79</v>
      </c>
      <c r="K45" t="s">
        <v>84</v>
      </c>
      <c r="L45" t="s">
        <v>81</v>
      </c>
      <c r="M45" t="str">
        <f>_xlfn.XLOOKUP(Application[[#This Row],[Company]],Table1[Company],Table1[Industry])</f>
        <v>IT Services</v>
      </c>
      <c r="N45" t="str">
        <f>_xlfn.XLOOKUP(Application[[#This Row],[Company]],Table1[Company],Table1[Company_Size])</f>
        <v>Large</v>
      </c>
      <c r="O45" t="str">
        <f>TEXT(Application[[#This Row],[Applied_Date]],"mmmm")</f>
        <v>September</v>
      </c>
    </row>
    <row r="46" spans="1:15">
      <c r="A46" t="s">
        <v>130</v>
      </c>
      <c r="B46" t="s">
        <v>10</v>
      </c>
      <c r="C46" t="s">
        <v>34</v>
      </c>
      <c r="D46" t="s">
        <v>43</v>
      </c>
      <c r="E46">
        <v>670000</v>
      </c>
      <c r="F46" s="1">
        <v>46279</v>
      </c>
      <c r="G46" t="s">
        <v>3</v>
      </c>
      <c r="H46" t="s">
        <v>51</v>
      </c>
      <c r="I46" t="s">
        <v>67</v>
      </c>
      <c r="J46" t="s">
        <v>83</v>
      </c>
      <c r="K46" t="s">
        <v>94</v>
      </c>
      <c r="L46" t="s">
        <v>81</v>
      </c>
      <c r="M46" t="str">
        <f>_xlfn.XLOOKUP(Application[[#This Row],[Company]],Table1[Company],Table1[Industry])</f>
        <v>Consulting</v>
      </c>
      <c r="N46" t="str">
        <f>_xlfn.XLOOKUP(Application[[#This Row],[Company]],Table1[Company],Table1[Company_Size])</f>
        <v>Large</v>
      </c>
      <c r="O46" t="str">
        <f>TEXT(Application[[#This Row],[Applied_Date]],"mmmm")</f>
        <v>September</v>
      </c>
    </row>
    <row r="47" spans="1:15">
      <c r="A47" t="s">
        <v>131</v>
      </c>
      <c r="B47" t="s">
        <v>20</v>
      </c>
      <c r="C47" t="s">
        <v>33</v>
      </c>
      <c r="D47" t="s">
        <v>44</v>
      </c>
      <c r="E47">
        <v>620000</v>
      </c>
      <c r="F47" s="1">
        <v>46280</v>
      </c>
      <c r="G47" t="s">
        <v>2</v>
      </c>
      <c r="H47" t="s">
        <v>50</v>
      </c>
      <c r="I47" t="s">
        <v>69</v>
      </c>
      <c r="J47" t="s">
        <v>86</v>
      </c>
      <c r="K47" t="s">
        <v>80</v>
      </c>
      <c r="L47" t="s">
        <v>81</v>
      </c>
      <c r="M47" t="str">
        <f>_xlfn.XLOOKUP(Application[[#This Row],[Company]],Table1[Company],Table1[Industry])</f>
        <v>IT Services</v>
      </c>
      <c r="N47" t="str">
        <f>_xlfn.XLOOKUP(Application[[#This Row],[Company]],Table1[Company],Table1[Company_Size])</f>
        <v>Large</v>
      </c>
      <c r="O47" t="str">
        <f>TEXT(Application[[#This Row],[Applied_Date]],"mmmm")</f>
        <v>September</v>
      </c>
    </row>
    <row r="48" spans="1:15">
      <c r="A48" t="s">
        <v>132</v>
      </c>
      <c r="B48" t="s">
        <v>17</v>
      </c>
      <c r="C48" t="s">
        <v>31</v>
      </c>
      <c r="D48" t="s">
        <v>42</v>
      </c>
      <c r="E48">
        <v>610000</v>
      </c>
      <c r="F48" s="1">
        <v>46281</v>
      </c>
      <c r="G48" t="s">
        <v>5</v>
      </c>
      <c r="H48" t="s">
        <v>51</v>
      </c>
      <c r="I48" t="s">
        <v>67</v>
      </c>
      <c r="J48" t="s">
        <v>79</v>
      </c>
      <c r="K48" t="s">
        <v>87</v>
      </c>
      <c r="L48" t="s">
        <v>81</v>
      </c>
      <c r="M48" t="str">
        <f>_xlfn.XLOOKUP(Application[[#This Row],[Company]],Table1[Company],Table1[Industry])</f>
        <v>IT Services</v>
      </c>
      <c r="N48" t="str">
        <f>_xlfn.XLOOKUP(Application[[#This Row],[Company]],Table1[Company],Table1[Company_Size])</f>
        <v>Large</v>
      </c>
      <c r="O48" t="str">
        <f>TEXT(Application[[#This Row],[Applied_Date]],"mmmm")</f>
        <v>September</v>
      </c>
    </row>
    <row r="49" spans="1:15">
      <c r="A49" t="s">
        <v>133</v>
      </c>
      <c r="B49" t="s">
        <v>14</v>
      </c>
      <c r="C49" t="s">
        <v>34</v>
      </c>
      <c r="D49" t="s">
        <v>43</v>
      </c>
      <c r="E49">
        <v>700000</v>
      </c>
      <c r="F49" s="1">
        <v>46282</v>
      </c>
      <c r="G49" t="s">
        <v>6</v>
      </c>
      <c r="H49" t="s">
        <v>52</v>
      </c>
      <c r="I49" t="s">
        <v>67</v>
      </c>
      <c r="J49" t="s">
        <v>83</v>
      </c>
      <c r="K49" t="s">
        <v>80</v>
      </c>
      <c r="L49" t="s">
        <v>81</v>
      </c>
      <c r="M49" t="str">
        <f>_xlfn.XLOOKUP(Application[[#This Row],[Company]],Table1[Company],Table1[Industry])</f>
        <v>IT Services</v>
      </c>
      <c r="N49" t="str">
        <f>_xlfn.XLOOKUP(Application[[#This Row],[Company]],Table1[Company],Table1[Company_Size])</f>
        <v>Large</v>
      </c>
      <c r="O49" t="str">
        <f>TEXT(Application[[#This Row],[Applied_Date]],"mmmm")</f>
        <v>September</v>
      </c>
    </row>
    <row r="50" spans="1:15">
      <c r="A50" t="s">
        <v>134</v>
      </c>
      <c r="B50" t="s">
        <v>19</v>
      </c>
      <c r="C50" t="s">
        <v>32</v>
      </c>
      <c r="D50" t="s">
        <v>44</v>
      </c>
      <c r="E50">
        <v>580000</v>
      </c>
      <c r="F50" s="1">
        <v>46283</v>
      </c>
      <c r="G50" t="s">
        <v>2</v>
      </c>
      <c r="H50" t="s">
        <v>50</v>
      </c>
      <c r="I50" t="s">
        <v>68</v>
      </c>
      <c r="J50" t="s">
        <v>79</v>
      </c>
      <c r="K50" t="s">
        <v>84</v>
      </c>
      <c r="L50" t="s">
        <v>81</v>
      </c>
      <c r="M50" t="str">
        <f>_xlfn.XLOOKUP(Application[[#This Row],[Company]],Table1[Company],Table1[Industry])</f>
        <v>IT Services</v>
      </c>
      <c r="N50" t="str">
        <f>_xlfn.XLOOKUP(Application[[#This Row],[Company]],Table1[Company],Table1[Company_Size])</f>
        <v>Large</v>
      </c>
      <c r="O50" t="str">
        <f>TEXT(Application[[#This Row],[Applied_Date]],"mmmm")</f>
        <v>September</v>
      </c>
    </row>
    <row r="51" spans="1:15">
      <c r="A51" t="s">
        <v>135</v>
      </c>
      <c r="B51" t="s">
        <v>12</v>
      </c>
      <c r="C51" t="s">
        <v>31</v>
      </c>
      <c r="D51" t="s">
        <v>42</v>
      </c>
      <c r="E51">
        <v>730000</v>
      </c>
      <c r="F51" s="1">
        <v>46284</v>
      </c>
      <c r="G51" t="s">
        <v>4</v>
      </c>
      <c r="H51" t="s">
        <v>52</v>
      </c>
      <c r="I51" t="s">
        <v>67</v>
      </c>
      <c r="J51" t="s">
        <v>86</v>
      </c>
      <c r="K51" t="s">
        <v>94</v>
      </c>
      <c r="L51" t="s">
        <v>81</v>
      </c>
      <c r="M51" t="str">
        <f>_xlfn.XLOOKUP(Application[[#This Row],[Company]],Table1[Company],Table1[Industry])</f>
        <v>Consulting</v>
      </c>
      <c r="N51" t="str">
        <f>_xlfn.XLOOKUP(Application[[#This Row],[Company]],Table1[Company],Table1[Company_Size])</f>
        <v>Large</v>
      </c>
      <c r="O51" t="str">
        <f>TEXT(Application[[#This Row],[Applied_Date]],"mmmm")</f>
        <v>September</v>
      </c>
    </row>
    <row r="52" spans="1:15">
      <c r="A52" t="s">
        <v>136</v>
      </c>
      <c r="B52" t="s">
        <v>26</v>
      </c>
      <c r="C52" t="s">
        <v>34</v>
      </c>
      <c r="D52" t="s">
        <v>43</v>
      </c>
      <c r="E52">
        <v>760000</v>
      </c>
      <c r="F52" s="1">
        <v>46054</v>
      </c>
      <c r="G52" t="s">
        <v>2</v>
      </c>
      <c r="H52" t="s">
        <v>50</v>
      </c>
      <c r="I52" t="s">
        <v>67</v>
      </c>
      <c r="J52" t="s">
        <v>83</v>
      </c>
      <c r="K52" t="s">
        <v>80</v>
      </c>
      <c r="L52" t="s">
        <v>81</v>
      </c>
      <c r="M52" t="str">
        <f>_xlfn.XLOOKUP(Application[[#This Row],[Company]],Table1[Company],Table1[Industry])</f>
        <v>Fintech</v>
      </c>
      <c r="N52" t="str">
        <f>_xlfn.XLOOKUP(Application[[#This Row],[Company]],Table1[Company],Table1[Company_Size])</f>
        <v>Large</v>
      </c>
      <c r="O52" t="str">
        <f>TEXT(Application[[#This Row],[Applied_Date]],"mmmm")</f>
        <v>February</v>
      </c>
    </row>
    <row r="53" spans="1:15">
      <c r="A53" t="s">
        <v>137</v>
      </c>
      <c r="B53" t="s">
        <v>24</v>
      </c>
      <c r="C53" t="s">
        <v>31</v>
      </c>
      <c r="D53" t="s">
        <v>42</v>
      </c>
      <c r="E53">
        <v>680000</v>
      </c>
      <c r="F53" s="1">
        <v>46056</v>
      </c>
      <c r="G53" t="s">
        <v>6</v>
      </c>
      <c r="H53" t="s">
        <v>51</v>
      </c>
      <c r="I53" t="s">
        <v>69</v>
      </c>
      <c r="J53" t="s">
        <v>86</v>
      </c>
      <c r="K53" t="s">
        <v>87</v>
      </c>
      <c r="L53" t="s">
        <v>81</v>
      </c>
      <c r="M53" t="str">
        <f>_xlfn.XLOOKUP(Application[[#This Row],[Company]],Table1[Company],Table1[Industry])</f>
        <v>Banking</v>
      </c>
      <c r="N53" t="str">
        <f>_xlfn.XLOOKUP(Application[[#This Row],[Company]],Table1[Company],Table1[Company_Size])</f>
        <v>Large</v>
      </c>
      <c r="O53" t="str">
        <f>TEXT(Application[[#This Row],[Applied_Date]],"mmmm")</f>
        <v>February</v>
      </c>
    </row>
    <row r="54" spans="1:15">
      <c r="A54" t="s">
        <v>138</v>
      </c>
      <c r="B54" t="s">
        <v>28</v>
      </c>
      <c r="C54" t="s">
        <v>33</v>
      </c>
      <c r="D54" t="s">
        <v>47</v>
      </c>
      <c r="E54">
        <v>850000</v>
      </c>
      <c r="F54" s="1">
        <v>46058</v>
      </c>
      <c r="G54" t="s">
        <v>3</v>
      </c>
      <c r="H54" t="s">
        <v>52</v>
      </c>
      <c r="I54" t="s">
        <v>67</v>
      </c>
      <c r="J54" t="s">
        <v>86</v>
      </c>
      <c r="K54" t="s">
        <v>80</v>
      </c>
      <c r="L54" t="s">
        <v>81</v>
      </c>
      <c r="M54" t="str">
        <f>_xlfn.XLOOKUP(Application[[#This Row],[Company]],Table1[Company],Table1[Industry])</f>
        <v>Banking</v>
      </c>
      <c r="N54" t="str">
        <f>_xlfn.XLOOKUP(Application[[#This Row],[Company]],Table1[Company],Table1[Company_Size])</f>
        <v>Large</v>
      </c>
      <c r="O54" t="str">
        <f>TEXT(Application[[#This Row],[Applied_Date]],"mmmm")</f>
        <v>February</v>
      </c>
    </row>
    <row r="55" spans="1:15">
      <c r="A55" t="s">
        <v>139</v>
      </c>
      <c r="B55" t="s">
        <v>27</v>
      </c>
      <c r="C55" t="s">
        <v>32</v>
      </c>
      <c r="D55" t="s">
        <v>46</v>
      </c>
      <c r="E55">
        <v>600000</v>
      </c>
      <c r="F55" s="1">
        <v>46060</v>
      </c>
      <c r="G55" t="s">
        <v>5</v>
      </c>
      <c r="H55" t="s">
        <v>50</v>
      </c>
      <c r="I55" t="s">
        <v>68</v>
      </c>
      <c r="J55" t="s">
        <v>79</v>
      </c>
      <c r="K55" t="s">
        <v>84</v>
      </c>
      <c r="L55" t="s">
        <v>81</v>
      </c>
      <c r="M55" t="str">
        <f>_xlfn.XLOOKUP(Application[[#This Row],[Company]],Table1[Company],Table1[Industry])</f>
        <v>Banking</v>
      </c>
      <c r="N55" t="str">
        <f>_xlfn.XLOOKUP(Application[[#This Row],[Company]],Table1[Company],Table1[Company_Size])</f>
        <v>Large</v>
      </c>
      <c r="O55" t="str">
        <f>TEXT(Application[[#This Row],[Applied_Date]],"mmmm")</f>
        <v>February</v>
      </c>
    </row>
    <row r="56" spans="1:15">
      <c r="A56" t="s">
        <v>140</v>
      </c>
      <c r="B56" t="s">
        <v>23</v>
      </c>
      <c r="C56" t="s">
        <v>31</v>
      </c>
      <c r="D56" t="s">
        <v>48</v>
      </c>
      <c r="E56">
        <v>720000</v>
      </c>
      <c r="F56" s="1">
        <v>46062</v>
      </c>
      <c r="G56" t="s">
        <v>2</v>
      </c>
      <c r="H56" t="s">
        <v>51</v>
      </c>
      <c r="I56" t="s">
        <v>67</v>
      </c>
      <c r="J56" t="s">
        <v>83</v>
      </c>
      <c r="K56" t="s">
        <v>87</v>
      </c>
      <c r="L56" t="s">
        <v>81</v>
      </c>
      <c r="M56" t="str">
        <f>_xlfn.XLOOKUP(Application[[#This Row],[Company]],Table1[Company],Table1[Industry])</f>
        <v>Fintech</v>
      </c>
      <c r="N56" t="str">
        <f>_xlfn.XLOOKUP(Application[[#This Row],[Company]],Table1[Company],Table1[Company_Size])</f>
        <v>Large</v>
      </c>
      <c r="O56" t="str">
        <f>TEXT(Application[[#This Row],[Applied_Date]],"mmmm")</f>
        <v>February</v>
      </c>
    </row>
    <row r="57" spans="1:15">
      <c r="A57" t="s">
        <v>141</v>
      </c>
      <c r="B57" t="s">
        <v>25</v>
      </c>
      <c r="C57" t="s">
        <v>36</v>
      </c>
      <c r="D57" t="s">
        <v>43</v>
      </c>
      <c r="E57">
        <v>700000</v>
      </c>
      <c r="F57" s="1">
        <v>46064</v>
      </c>
      <c r="G57" t="s">
        <v>6</v>
      </c>
      <c r="H57" t="s">
        <v>52</v>
      </c>
      <c r="I57" t="s">
        <v>69</v>
      </c>
      <c r="J57" t="s">
        <v>86</v>
      </c>
      <c r="K57" t="s">
        <v>94</v>
      </c>
      <c r="L57" t="s">
        <v>81</v>
      </c>
      <c r="M57" t="str">
        <f>_xlfn.XLOOKUP(Application[[#This Row],[Company]],Table1[Company],Table1[Industry])</f>
        <v>Fintech</v>
      </c>
      <c r="N57" t="str">
        <f>_xlfn.XLOOKUP(Application[[#This Row],[Company]],Table1[Company],Table1[Company_Size])</f>
        <v>Large</v>
      </c>
      <c r="O57" t="str">
        <f>TEXT(Application[[#This Row],[Applied_Date]],"mmmm")</f>
        <v>February</v>
      </c>
    </row>
    <row r="58" spans="1:15">
      <c r="A58" t="s">
        <v>142</v>
      </c>
      <c r="B58" t="s">
        <v>26</v>
      </c>
      <c r="C58" t="s">
        <v>32</v>
      </c>
      <c r="D58" t="s">
        <v>42</v>
      </c>
      <c r="E58">
        <v>650000</v>
      </c>
      <c r="F58" s="1">
        <v>46066</v>
      </c>
      <c r="G58" t="s">
        <v>3</v>
      </c>
      <c r="H58" t="s">
        <v>50</v>
      </c>
      <c r="I58" t="s">
        <v>67</v>
      </c>
      <c r="J58" t="s">
        <v>79</v>
      </c>
      <c r="K58" t="s">
        <v>84</v>
      </c>
      <c r="L58" t="s">
        <v>81</v>
      </c>
      <c r="M58" t="str">
        <f>_xlfn.XLOOKUP(Application[[#This Row],[Company]],Table1[Company],Table1[Industry])</f>
        <v>Fintech</v>
      </c>
      <c r="N58" t="str">
        <f>_xlfn.XLOOKUP(Application[[#This Row],[Company]],Table1[Company],Table1[Company_Size])</f>
        <v>Large</v>
      </c>
      <c r="O58" t="str">
        <f>TEXT(Application[[#This Row],[Applied_Date]],"mmmm")</f>
        <v>February</v>
      </c>
    </row>
    <row r="59" spans="1:15">
      <c r="A59" t="s">
        <v>143</v>
      </c>
      <c r="B59" t="s">
        <v>24</v>
      </c>
      <c r="C59" t="s">
        <v>35</v>
      </c>
      <c r="D59" t="s">
        <v>44</v>
      </c>
      <c r="E59">
        <v>700000</v>
      </c>
      <c r="F59" s="1">
        <v>46068</v>
      </c>
      <c r="G59" t="s">
        <v>2</v>
      </c>
      <c r="H59" t="s">
        <v>51</v>
      </c>
      <c r="I59" t="s">
        <v>68</v>
      </c>
      <c r="J59" t="s">
        <v>83</v>
      </c>
      <c r="K59" t="s">
        <v>80</v>
      </c>
      <c r="L59" t="s">
        <v>81</v>
      </c>
      <c r="M59" t="str">
        <f>_xlfn.XLOOKUP(Application[[#This Row],[Company]],Table1[Company],Table1[Industry])</f>
        <v>Banking</v>
      </c>
      <c r="N59" t="str">
        <f>_xlfn.XLOOKUP(Application[[#This Row],[Company]],Table1[Company],Table1[Company_Size])</f>
        <v>Large</v>
      </c>
      <c r="O59" t="str">
        <f>TEXT(Application[[#This Row],[Applied_Date]],"mmmm")</f>
        <v>February</v>
      </c>
    </row>
    <row r="60" spans="1:15">
      <c r="A60" t="s">
        <v>144</v>
      </c>
      <c r="B60" t="s">
        <v>28</v>
      </c>
      <c r="C60" t="s">
        <v>37</v>
      </c>
      <c r="D60" t="s">
        <v>47</v>
      </c>
      <c r="E60">
        <v>680000</v>
      </c>
      <c r="F60" s="1">
        <v>46070</v>
      </c>
      <c r="G60" t="s">
        <v>5</v>
      </c>
      <c r="H60" t="s">
        <v>54</v>
      </c>
      <c r="I60" t="s">
        <v>67</v>
      </c>
      <c r="J60" t="s">
        <v>86</v>
      </c>
      <c r="K60" t="s">
        <v>87</v>
      </c>
      <c r="L60" t="s">
        <v>81</v>
      </c>
      <c r="M60" t="str">
        <f>_xlfn.XLOOKUP(Application[[#This Row],[Company]],Table1[Company],Table1[Industry])</f>
        <v>Banking</v>
      </c>
      <c r="N60" t="str">
        <f>_xlfn.XLOOKUP(Application[[#This Row],[Company]],Table1[Company],Table1[Company_Size])</f>
        <v>Large</v>
      </c>
      <c r="O60" t="str">
        <f>TEXT(Application[[#This Row],[Applied_Date]],"mmmm")</f>
        <v>February</v>
      </c>
    </row>
    <row r="61" spans="1:15">
      <c r="A61" t="s">
        <v>145</v>
      </c>
      <c r="B61" t="s">
        <v>27</v>
      </c>
      <c r="C61" t="s">
        <v>38</v>
      </c>
      <c r="D61" t="s">
        <v>45</v>
      </c>
      <c r="E61">
        <v>620000</v>
      </c>
      <c r="F61" s="1">
        <v>46072</v>
      </c>
      <c r="G61" t="s">
        <v>3</v>
      </c>
      <c r="H61" t="s">
        <v>50</v>
      </c>
      <c r="I61" t="s">
        <v>69</v>
      </c>
      <c r="J61" t="s">
        <v>79</v>
      </c>
      <c r="K61" t="s">
        <v>84</v>
      </c>
      <c r="L61" t="s">
        <v>81</v>
      </c>
      <c r="M61" t="str">
        <f>_xlfn.XLOOKUP(Application[[#This Row],[Company]],Table1[Company],Table1[Industry])</f>
        <v>Banking</v>
      </c>
      <c r="N61" t="str">
        <f>_xlfn.XLOOKUP(Application[[#This Row],[Company]],Table1[Company],Table1[Company_Size])</f>
        <v>Large</v>
      </c>
      <c r="O61" t="str">
        <f>TEXT(Application[[#This Row],[Applied_Date]],"mmmm")</f>
        <v>February</v>
      </c>
    </row>
    <row r="62" spans="1:15">
      <c r="A62" t="s">
        <v>146</v>
      </c>
      <c r="B62" t="s">
        <v>23</v>
      </c>
      <c r="C62" t="s">
        <v>40</v>
      </c>
      <c r="D62" t="s">
        <v>44</v>
      </c>
      <c r="E62">
        <v>520000</v>
      </c>
      <c r="F62" s="1">
        <v>46074</v>
      </c>
      <c r="G62" t="s">
        <v>2</v>
      </c>
      <c r="H62" t="s">
        <v>51</v>
      </c>
      <c r="I62" t="s">
        <v>68</v>
      </c>
      <c r="J62" t="s">
        <v>83</v>
      </c>
      <c r="K62" t="s">
        <v>84</v>
      </c>
      <c r="L62" t="s">
        <v>81</v>
      </c>
      <c r="M62" t="str">
        <f>_xlfn.XLOOKUP(Application[[#This Row],[Company]],Table1[Company],Table1[Industry])</f>
        <v>Fintech</v>
      </c>
      <c r="N62" t="str">
        <f>_xlfn.XLOOKUP(Application[[#This Row],[Company]],Table1[Company],Table1[Company_Size])</f>
        <v>Large</v>
      </c>
      <c r="O62" t="str">
        <f>TEXT(Application[[#This Row],[Applied_Date]],"mmmm")</f>
        <v>February</v>
      </c>
    </row>
    <row r="63" spans="1:15">
      <c r="A63" t="s">
        <v>147</v>
      </c>
      <c r="B63" t="s">
        <v>25</v>
      </c>
      <c r="C63" t="s">
        <v>39</v>
      </c>
      <c r="D63" t="s">
        <v>42</v>
      </c>
      <c r="E63">
        <v>580000</v>
      </c>
      <c r="F63" s="1">
        <v>46076</v>
      </c>
      <c r="G63" t="s">
        <v>6</v>
      </c>
      <c r="H63" t="s">
        <v>52</v>
      </c>
      <c r="I63" t="s">
        <v>67</v>
      </c>
      <c r="J63" t="s">
        <v>79</v>
      </c>
      <c r="K63" t="s">
        <v>87</v>
      </c>
      <c r="L63" t="s">
        <v>81</v>
      </c>
      <c r="M63" t="str">
        <f>_xlfn.XLOOKUP(Application[[#This Row],[Company]],Table1[Company],Table1[Industry])</f>
        <v>Fintech</v>
      </c>
      <c r="N63" t="str">
        <f>_xlfn.XLOOKUP(Application[[#This Row],[Company]],Table1[Company],Table1[Company_Size])</f>
        <v>Large</v>
      </c>
      <c r="O63" t="str">
        <f>TEXT(Application[[#This Row],[Applied_Date]],"mmmm")</f>
        <v>February</v>
      </c>
    </row>
    <row r="64" spans="1:15">
      <c r="A64" t="s">
        <v>148</v>
      </c>
      <c r="B64" t="s">
        <v>26</v>
      </c>
      <c r="C64" t="s">
        <v>33</v>
      </c>
      <c r="D64" t="s">
        <v>43</v>
      </c>
      <c r="E64">
        <v>820000</v>
      </c>
      <c r="F64" s="1">
        <v>46078</v>
      </c>
      <c r="G64" t="s">
        <v>3</v>
      </c>
      <c r="H64" t="s">
        <v>53</v>
      </c>
      <c r="I64" t="s">
        <v>69</v>
      </c>
      <c r="J64" t="s">
        <v>86</v>
      </c>
      <c r="K64" t="s">
        <v>80</v>
      </c>
      <c r="L64" t="s">
        <v>81</v>
      </c>
      <c r="M64" t="str">
        <f>_xlfn.XLOOKUP(Application[[#This Row],[Company]],Table1[Company],Table1[Industry])</f>
        <v>Fintech</v>
      </c>
      <c r="N64" t="str">
        <f>_xlfn.XLOOKUP(Application[[#This Row],[Company]],Table1[Company],Table1[Company_Size])</f>
        <v>Large</v>
      </c>
      <c r="O64" t="str">
        <f>TEXT(Application[[#This Row],[Applied_Date]],"mmmm")</f>
        <v>February</v>
      </c>
    </row>
    <row r="65" spans="1:15">
      <c r="A65" t="s">
        <v>149</v>
      </c>
      <c r="B65" t="s">
        <v>24</v>
      </c>
      <c r="C65" t="s">
        <v>32</v>
      </c>
      <c r="D65" t="s">
        <v>46</v>
      </c>
      <c r="E65">
        <v>620000</v>
      </c>
      <c r="F65" s="1">
        <v>46080</v>
      </c>
      <c r="G65" t="s">
        <v>5</v>
      </c>
      <c r="H65" t="s">
        <v>50</v>
      </c>
      <c r="I65" t="s">
        <v>68</v>
      </c>
      <c r="J65" t="s">
        <v>83</v>
      </c>
      <c r="K65" t="s">
        <v>84</v>
      </c>
      <c r="L65" t="s">
        <v>81</v>
      </c>
      <c r="M65" t="str">
        <f>_xlfn.XLOOKUP(Application[[#This Row],[Company]],Table1[Company],Table1[Industry])</f>
        <v>Banking</v>
      </c>
      <c r="N65" t="str">
        <f>_xlfn.XLOOKUP(Application[[#This Row],[Company]],Table1[Company],Table1[Company_Size])</f>
        <v>Large</v>
      </c>
      <c r="O65" t="str">
        <f>TEXT(Application[[#This Row],[Applied_Date]],"mmmm")</f>
        <v>February</v>
      </c>
    </row>
    <row r="66" spans="1:15">
      <c r="A66" t="s">
        <v>150</v>
      </c>
      <c r="B66" t="s">
        <v>28</v>
      </c>
      <c r="C66" t="s">
        <v>31</v>
      </c>
      <c r="D66" t="s">
        <v>47</v>
      </c>
      <c r="E66">
        <v>760000</v>
      </c>
      <c r="F66" s="1">
        <v>46082</v>
      </c>
      <c r="G66" t="s">
        <v>2</v>
      </c>
      <c r="H66" t="s">
        <v>51</v>
      </c>
      <c r="I66" t="s">
        <v>67</v>
      </c>
      <c r="J66" t="s">
        <v>86</v>
      </c>
      <c r="K66" t="s">
        <v>94</v>
      </c>
      <c r="L66" t="s">
        <v>81</v>
      </c>
      <c r="M66" t="str">
        <f>_xlfn.XLOOKUP(Application[[#This Row],[Company]],Table1[Company],Table1[Industry])</f>
        <v>Banking</v>
      </c>
      <c r="N66" t="str">
        <f>_xlfn.XLOOKUP(Application[[#This Row],[Company]],Table1[Company],Table1[Company_Size])</f>
        <v>Large</v>
      </c>
      <c r="O66" t="str">
        <f>TEXT(Application[[#This Row],[Applied_Date]],"mmmm")</f>
        <v>March</v>
      </c>
    </row>
    <row r="67" spans="1:15">
      <c r="A67" t="s">
        <v>151</v>
      </c>
      <c r="B67" t="s">
        <v>27</v>
      </c>
      <c r="C67" t="s">
        <v>34</v>
      </c>
      <c r="D67" t="s">
        <v>48</v>
      </c>
      <c r="E67">
        <v>680000</v>
      </c>
      <c r="F67" s="1">
        <v>46084</v>
      </c>
      <c r="G67" t="s">
        <v>6</v>
      </c>
      <c r="H67" t="s">
        <v>52</v>
      </c>
      <c r="I67" t="s">
        <v>67</v>
      </c>
      <c r="J67" t="s">
        <v>79</v>
      </c>
      <c r="K67" t="s">
        <v>80</v>
      </c>
      <c r="L67" t="s">
        <v>81</v>
      </c>
      <c r="M67" t="str">
        <f>_xlfn.XLOOKUP(Application[[#This Row],[Company]],Table1[Company],Table1[Industry])</f>
        <v>Banking</v>
      </c>
      <c r="N67" t="str">
        <f>_xlfn.XLOOKUP(Application[[#This Row],[Company]],Table1[Company],Table1[Company_Size])</f>
        <v>Large</v>
      </c>
      <c r="O67" t="str">
        <f>TEXT(Application[[#This Row],[Applied_Date]],"mmmm")</f>
        <v>March</v>
      </c>
    </row>
    <row r="68" spans="1:15">
      <c r="A68" t="s">
        <v>152</v>
      </c>
      <c r="B68" t="s">
        <v>23</v>
      </c>
      <c r="C68" t="s">
        <v>35</v>
      </c>
      <c r="D68" t="s">
        <v>43</v>
      </c>
      <c r="E68">
        <v>740000</v>
      </c>
      <c r="F68" s="1">
        <v>46086</v>
      </c>
      <c r="G68" t="s">
        <v>3</v>
      </c>
      <c r="H68" t="s">
        <v>50</v>
      </c>
      <c r="I68" t="s">
        <v>69</v>
      </c>
      <c r="J68" t="s">
        <v>83</v>
      </c>
      <c r="K68" t="s">
        <v>87</v>
      </c>
      <c r="L68" t="s">
        <v>81</v>
      </c>
      <c r="M68" t="str">
        <f>_xlfn.XLOOKUP(Application[[#This Row],[Company]],Table1[Company],Table1[Industry])</f>
        <v>Fintech</v>
      </c>
      <c r="N68" t="str">
        <f>_xlfn.XLOOKUP(Application[[#This Row],[Company]],Table1[Company],Table1[Company_Size])</f>
        <v>Large</v>
      </c>
      <c r="O68" t="str">
        <f>TEXT(Application[[#This Row],[Applied_Date]],"mmmm")</f>
        <v>March</v>
      </c>
    </row>
    <row r="69" spans="1:15">
      <c r="A69" t="s">
        <v>153</v>
      </c>
      <c r="B69" t="s">
        <v>25</v>
      </c>
      <c r="C69" t="s">
        <v>32</v>
      </c>
      <c r="D69" t="s">
        <v>42</v>
      </c>
      <c r="E69">
        <v>650000</v>
      </c>
      <c r="F69" s="1">
        <v>46088</v>
      </c>
      <c r="G69" t="s">
        <v>2</v>
      </c>
      <c r="H69" t="s">
        <v>53</v>
      </c>
      <c r="I69" t="s">
        <v>67</v>
      </c>
      <c r="J69" t="s">
        <v>79</v>
      </c>
      <c r="K69" t="s">
        <v>84</v>
      </c>
      <c r="L69" t="s">
        <v>81</v>
      </c>
      <c r="M69" t="str">
        <f>_xlfn.XLOOKUP(Application[[#This Row],[Company]],Table1[Company],Table1[Industry])</f>
        <v>Fintech</v>
      </c>
      <c r="N69" t="str">
        <f>_xlfn.XLOOKUP(Application[[#This Row],[Company]],Table1[Company],Table1[Company_Size])</f>
        <v>Large</v>
      </c>
      <c r="O69" t="str">
        <f>TEXT(Application[[#This Row],[Applied_Date]],"mmmm")</f>
        <v>March</v>
      </c>
    </row>
    <row r="70" spans="1:15">
      <c r="A70" t="s">
        <v>154</v>
      </c>
      <c r="B70" t="s">
        <v>26</v>
      </c>
      <c r="C70" t="s">
        <v>36</v>
      </c>
      <c r="D70" t="s">
        <v>44</v>
      </c>
      <c r="E70">
        <v>680000</v>
      </c>
      <c r="F70" s="1">
        <v>46090</v>
      </c>
      <c r="G70" t="s">
        <v>4</v>
      </c>
      <c r="H70" t="s">
        <v>52</v>
      </c>
      <c r="I70" t="s">
        <v>68</v>
      </c>
      <c r="J70" t="s">
        <v>86</v>
      </c>
      <c r="K70" t="s">
        <v>80</v>
      </c>
      <c r="L70" t="s">
        <v>81</v>
      </c>
      <c r="M70" t="str">
        <f>_xlfn.XLOOKUP(Application[[#This Row],[Company]],Table1[Company],Table1[Industry])</f>
        <v>Fintech</v>
      </c>
      <c r="N70" t="str">
        <f>_xlfn.XLOOKUP(Application[[#This Row],[Company]],Table1[Company],Table1[Company_Size])</f>
        <v>Large</v>
      </c>
      <c r="O70" t="str">
        <f>TEXT(Application[[#This Row],[Applied_Date]],"mmmm")</f>
        <v>March</v>
      </c>
    </row>
    <row r="71" spans="1:15">
      <c r="A71" t="s">
        <v>155</v>
      </c>
      <c r="B71" t="s">
        <v>24</v>
      </c>
      <c r="C71" t="s">
        <v>37</v>
      </c>
      <c r="D71" t="s">
        <v>45</v>
      </c>
      <c r="E71">
        <v>600000</v>
      </c>
      <c r="F71" s="1">
        <v>46092</v>
      </c>
      <c r="G71" t="s">
        <v>2</v>
      </c>
      <c r="H71" t="s">
        <v>51</v>
      </c>
      <c r="I71" t="s">
        <v>67</v>
      </c>
      <c r="J71" t="s">
        <v>83</v>
      </c>
      <c r="K71" t="s">
        <v>87</v>
      </c>
      <c r="L71" t="s">
        <v>81</v>
      </c>
      <c r="M71" t="str">
        <f>_xlfn.XLOOKUP(Application[[#This Row],[Company]],Table1[Company],Table1[Industry])</f>
        <v>Banking</v>
      </c>
      <c r="N71" t="str">
        <f>_xlfn.XLOOKUP(Application[[#This Row],[Company]],Table1[Company],Table1[Company_Size])</f>
        <v>Large</v>
      </c>
      <c r="O71" t="str">
        <f>TEXT(Application[[#This Row],[Applied_Date]],"mmmm")</f>
        <v>March</v>
      </c>
    </row>
    <row r="72" spans="1:15">
      <c r="A72" t="s">
        <v>156</v>
      </c>
      <c r="B72" t="s">
        <v>28</v>
      </c>
      <c r="C72" t="s">
        <v>33</v>
      </c>
      <c r="D72" t="s">
        <v>43</v>
      </c>
      <c r="E72">
        <v>900000</v>
      </c>
      <c r="F72" s="1">
        <v>46094</v>
      </c>
      <c r="G72" t="s">
        <v>6</v>
      </c>
      <c r="H72" t="s">
        <v>50</v>
      </c>
      <c r="I72" t="s">
        <v>69</v>
      </c>
      <c r="J72" t="s">
        <v>86</v>
      </c>
      <c r="K72" t="s">
        <v>80</v>
      </c>
      <c r="L72" t="s">
        <v>81</v>
      </c>
      <c r="M72" t="str">
        <f>_xlfn.XLOOKUP(Application[[#This Row],[Company]],Table1[Company],Table1[Industry])</f>
        <v>Banking</v>
      </c>
      <c r="N72" t="str">
        <f>_xlfn.XLOOKUP(Application[[#This Row],[Company]],Table1[Company],Table1[Company_Size])</f>
        <v>Large</v>
      </c>
      <c r="O72" t="str">
        <f>TEXT(Application[[#This Row],[Applied_Date]],"mmmm")</f>
        <v>March</v>
      </c>
    </row>
    <row r="73" spans="1:15">
      <c r="A73" t="s">
        <v>157</v>
      </c>
      <c r="B73" t="s">
        <v>27</v>
      </c>
      <c r="C73" t="s">
        <v>31</v>
      </c>
      <c r="D73" t="s">
        <v>46</v>
      </c>
      <c r="E73">
        <v>670000</v>
      </c>
      <c r="F73" s="1">
        <v>46096</v>
      </c>
      <c r="G73" t="s">
        <v>5</v>
      </c>
      <c r="H73" t="s">
        <v>51</v>
      </c>
      <c r="I73" t="s">
        <v>68</v>
      </c>
      <c r="J73" t="s">
        <v>79</v>
      </c>
      <c r="K73" t="s">
        <v>94</v>
      </c>
      <c r="L73" t="s">
        <v>81</v>
      </c>
      <c r="M73" t="str">
        <f>_xlfn.XLOOKUP(Application[[#This Row],[Company]],Table1[Company],Table1[Industry])</f>
        <v>Banking</v>
      </c>
      <c r="N73" t="str">
        <f>_xlfn.XLOOKUP(Application[[#This Row],[Company]],Table1[Company],Table1[Company_Size])</f>
        <v>Large</v>
      </c>
      <c r="O73" t="str">
        <f>TEXT(Application[[#This Row],[Applied_Date]],"mmmm")</f>
        <v>March</v>
      </c>
    </row>
    <row r="74" spans="1:15">
      <c r="A74" t="s">
        <v>158</v>
      </c>
      <c r="B74" t="s">
        <v>23</v>
      </c>
      <c r="C74" t="s">
        <v>34</v>
      </c>
      <c r="D74" t="s">
        <v>42</v>
      </c>
      <c r="E74">
        <v>720000</v>
      </c>
      <c r="F74" s="1">
        <v>46098</v>
      </c>
      <c r="G74" t="s">
        <v>3</v>
      </c>
      <c r="H74" t="s">
        <v>52</v>
      </c>
      <c r="I74" t="s">
        <v>67</v>
      </c>
      <c r="J74" t="s">
        <v>83</v>
      </c>
      <c r="K74" t="s">
        <v>80</v>
      </c>
      <c r="L74" t="s">
        <v>81</v>
      </c>
      <c r="M74" t="str">
        <f>_xlfn.XLOOKUP(Application[[#This Row],[Company]],Table1[Company],Table1[Industry])</f>
        <v>Fintech</v>
      </c>
      <c r="N74" t="str">
        <f>_xlfn.XLOOKUP(Application[[#This Row],[Company]],Table1[Company],Table1[Company_Size])</f>
        <v>Large</v>
      </c>
      <c r="O74" t="str">
        <f>TEXT(Application[[#This Row],[Applied_Date]],"mmmm")</f>
        <v>March</v>
      </c>
    </row>
    <row r="75" spans="1:15">
      <c r="A75" t="s">
        <v>159</v>
      </c>
      <c r="B75" t="s">
        <v>25</v>
      </c>
      <c r="C75" t="s">
        <v>32</v>
      </c>
      <c r="D75" t="s">
        <v>47</v>
      </c>
      <c r="E75">
        <v>640000</v>
      </c>
      <c r="F75" s="1">
        <v>46100</v>
      </c>
      <c r="G75" t="s">
        <v>2</v>
      </c>
      <c r="H75" t="s">
        <v>50</v>
      </c>
      <c r="I75" t="s">
        <v>67</v>
      </c>
      <c r="J75" t="s">
        <v>86</v>
      </c>
      <c r="K75" t="s">
        <v>84</v>
      </c>
      <c r="L75" t="s">
        <v>81</v>
      </c>
      <c r="M75" t="str">
        <f>_xlfn.XLOOKUP(Application[[#This Row],[Company]],Table1[Company],Table1[Industry])</f>
        <v>Fintech</v>
      </c>
      <c r="N75" t="str">
        <f>_xlfn.XLOOKUP(Application[[#This Row],[Company]],Table1[Company],Table1[Company_Size])</f>
        <v>Large</v>
      </c>
      <c r="O75" t="str">
        <f>TEXT(Application[[#This Row],[Applied_Date]],"mmmm")</f>
        <v>March</v>
      </c>
    </row>
    <row r="76" spans="1:15">
      <c r="A76" t="s">
        <v>160</v>
      </c>
      <c r="B76" t="s">
        <v>26</v>
      </c>
      <c r="C76" t="s">
        <v>31</v>
      </c>
      <c r="D76" t="s">
        <v>43</v>
      </c>
      <c r="E76">
        <v>750000</v>
      </c>
      <c r="F76" s="1">
        <v>46102</v>
      </c>
      <c r="G76" t="s">
        <v>6</v>
      </c>
      <c r="H76" t="s">
        <v>53</v>
      </c>
      <c r="I76" t="s">
        <v>69</v>
      </c>
      <c r="J76" t="s">
        <v>79</v>
      </c>
      <c r="K76" t="s">
        <v>87</v>
      </c>
      <c r="L76" t="s">
        <v>81</v>
      </c>
      <c r="M76" t="str">
        <f>_xlfn.XLOOKUP(Application[[#This Row],[Company]],Table1[Company],Table1[Industry])</f>
        <v>Fintech</v>
      </c>
      <c r="N76" t="str">
        <f>_xlfn.XLOOKUP(Application[[#This Row],[Company]],Table1[Company],Table1[Company_Size])</f>
        <v>Large</v>
      </c>
      <c r="O76" t="str">
        <f>TEXT(Application[[#This Row],[Applied_Date]],"mmmm")</f>
        <v>March</v>
      </c>
    </row>
    <row r="77" spans="1:15">
      <c r="A77" t="s">
        <v>161</v>
      </c>
      <c r="B77" t="s">
        <v>24</v>
      </c>
      <c r="C77" t="s">
        <v>33</v>
      </c>
      <c r="D77" t="s">
        <v>44</v>
      </c>
      <c r="E77">
        <v>780000</v>
      </c>
      <c r="F77" s="1">
        <v>46104</v>
      </c>
      <c r="G77" t="s">
        <v>3</v>
      </c>
      <c r="H77" t="s">
        <v>51</v>
      </c>
      <c r="I77" t="s">
        <v>68</v>
      </c>
      <c r="J77" t="s">
        <v>86</v>
      </c>
      <c r="K77" t="s">
        <v>80</v>
      </c>
      <c r="L77" t="s">
        <v>81</v>
      </c>
      <c r="M77" t="str">
        <f>_xlfn.XLOOKUP(Application[[#This Row],[Company]],Table1[Company],Table1[Industry])</f>
        <v>Banking</v>
      </c>
      <c r="N77" t="str">
        <f>_xlfn.XLOOKUP(Application[[#This Row],[Company]],Table1[Company],Table1[Company_Size])</f>
        <v>Large</v>
      </c>
      <c r="O77" t="str">
        <f>TEXT(Application[[#This Row],[Applied_Date]],"mmmm")</f>
        <v>March</v>
      </c>
    </row>
    <row r="78" spans="1:15">
      <c r="A78" t="s">
        <v>162</v>
      </c>
      <c r="B78" t="s">
        <v>28</v>
      </c>
      <c r="C78" t="s">
        <v>35</v>
      </c>
      <c r="D78" t="s">
        <v>42</v>
      </c>
      <c r="E78">
        <v>800000</v>
      </c>
      <c r="F78" s="1">
        <v>46106</v>
      </c>
      <c r="G78" t="s">
        <v>2</v>
      </c>
      <c r="H78" t="s">
        <v>52</v>
      </c>
      <c r="I78" t="s">
        <v>67</v>
      </c>
      <c r="J78" t="s">
        <v>83</v>
      </c>
      <c r="K78" t="s">
        <v>94</v>
      </c>
      <c r="L78" t="s">
        <v>81</v>
      </c>
      <c r="M78" t="str">
        <f>_xlfn.XLOOKUP(Application[[#This Row],[Company]],Table1[Company],Table1[Industry])</f>
        <v>Banking</v>
      </c>
      <c r="N78" t="str">
        <f>_xlfn.XLOOKUP(Application[[#This Row],[Company]],Table1[Company],Table1[Company_Size])</f>
        <v>Large</v>
      </c>
      <c r="O78" t="str">
        <f>TEXT(Application[[#This Row],[Applied_Date]],"mmmm")</f>
        <v>March</v>
      </c>
    </row>
    <row r="79" spans="1:15">
      <c r="A79" t="s">
        <v>163</v>
      </c>
      <c r="B79" t="s">
        <v>27</v>
      </c>
      <c r="C79" t="s">
        <v>36</v>
      </c>
      <c r="D79" t="s">
        <v>45</v>
      </c>
      <c r="E79">
        <v>650000</v>
      </c>
      <c r="F79" s="1">
        <v>46108</v>
      </c>
      <c r="G79" t="s">
        <v>5</v>
      </c>
      <c r="H79" t="s">
        <v>50</v>
      </c>
      <c r="I79" t="s">
        <v>67</v>
      </c>
      <c r="J79" t="s">
        <v>79</v>
      </c>
      <c r="K79" t="s">
        <v>80</v>
      </c>
      <c r="L79" t="s">
        <v>81</v>
      </c>
      <c r="M79" t="str">
        <f>_xlfn.XLOOKUP(Application[[#This Row],[Company]],Table1[Company],Table1[Industry])</f>
        <v>Banking</v>
      </c>
      <c r="N79" t="str">
        <f>_xlfn.XLOOKUP(Application[[#This Row],[Company]],Table1[Company],Table1[Company_Size])</f>
        <v>Large</v>
      </c>
      <c r="O79" t="str">
        <f>TEXT(Application[[#This Row],[Applied_Date]],"mmmm")</f>
        <v>March</v>
      </c>
    </row>
    <row r="80" spans="1:15">
      <c r="A80" t="s">
        <v>164</v>
      </c>
      <c r="B80" t="s">
        <v>23</v>
      </c>
      <c r="C80" t="s">
        <v>32</v>
      </c>
      <c r="D80" t="s">
        <v>43</v>
      </c>
      <c r="E80">
        <v>690000</v>
      </c>
      <c r="F80" s="1">
        <v>46110</v>
      </c>
      <c r="G80" t="s">
        <v>2</v>
      </c>
      <c r="H80" t="s">
        <v>51</v>
      </c>
      <c r="I80" t="s">
        <v>69</v>
      </c>
      <c r="J80" t="s">
        <v>83</v>
      </c>
      <c r="K80" t="s">
        <v>84</v>
      </c>
      <c r="L80" t="s">
        <v>81</v>
      </c>
      <c r="M80" t="str">
        <f>_xlfn.XLOOKUP(Application[[#This Row],[Company]],Table1[Company],Table1[Industry])</f>
        <v>Fintech</v>
      </c>
      <c r="N80" t="str">
        <f>_xlfn.XLOOKUP(Application[[#This Row],[Company]],Table1[Company],Table1[Company_Size])</f>
        <v>Large</v>
      </c>
      <c r="O80" t="str">
        <f>TEXT(Application[[#This Row],[Applied_Date]],"mmmm")</f>
        <v>March</v>
      </c>
    </row>
    <row r="81" spans="1:15">
      <c r="A81" t="s">
        <v>165</v>
      </c>
      <c r="B81" t="s">
        <v>25</v>
      </c>
      <c r="C81" t="s">
        <v>34</v>
      </c>
      <c r="D81" t="s">
        <v>42</v>
      </c>
      <c r="E81">
        <v>730000</v>
      </c>
      <c r="F81" s="1">
        <v>46112</v>
      </c>
      <c r="G81" t="s">
        <v>6</v>
      </c>
      <c r="H81" t="s">
        <v>53</v>
      </c>
      <c r="I81" t="s">
        <v>67</v>
      </c>
      <c r="J81" t="s">
        <v>86</v>
      </c>
      <c r="K81" t="s">
        <v>80</v>
      </c>
      <c r="L81" t="s">
        <v>81</v>
      </c>
      <c r="M81" t="str">
        <f>_xlfn.XLOOKUP(Application[[#This Row],[Company]],Table1[Company],Table1[Industry])</f>
        <v>Fintech</v>
      </c>
      <c r="N81" t="str">
        <f>_xlfn.XLOOKUP(Application[[#This Row],[Company]],Table1[Company],Table1[Company_Size])</f>
        <v>Large</v>
      </c>
      <c r="O81" t="str">
        <f>TEXT(Application[[#This Row],[Applied_Date]],"mmmm")</f>
        <v>March</v>
      </c>
    </row>
    <row r="82" spans="1:15">
      <c r="A82" t="s">
        <v>166</v>
      </c>
      <c r="B82" t="s">
        <v>15</v>
      </c>
      <c r="C82" t="s">
        <v>37</v>
      </c>
      <c r="D82" t="s">
        <v>44</v>
      </c>
      <c r="E82">
        <v>680000</v>
      </c>
      <c r="F82" s="1">
        <v>46114</v>
      </c>
      <c r="G82" t="s">
        <v>3</v>
      </c>
      <c r="H82" t="s">
        <v>50</v>
      </c>
      <c r="I82" t="s">
        <v>68</v>
      </c>
      <c r="J82" t="s">
        <v>79</v>
      </c>
      <c r="K82" t="s">
        <v>87</v>
      </c>
      <c r="L82" t="s">
        <v>81</v>
      </c>
      <c r="M82" t="str">
        <f>_xlfn.XLOOKUP(Application[[#This Row],[Company]],Table1[Company],Table1[Industry])</f>
        <v>E-Commerce</v>
      </c>
      <c r="N82" t="str">
        <f>_xlfn.XLOOKUP(Application[[#This Row],[Company]],Table1[Company],Table1[Company_Size])</f>
        <v>Large</v>
      </c>
      <c r="O82" t="str">
        <f>TEXT(Application[[#This Row],[Applied_Date]],"mmmm")</f>
        <v>April</v>
      </c>
    </row>
    <row r="83" spans="1:15">
      <c r="A83" t="s">
        <v>167</v>
      </c>
      <c r="B83" t="s">
        <v>13</v>
      </c>
      <c r="C83" t="s">
        <v>31</v>
      </c>
      <c r="D83" t="s">
        <v>43</v>
      </c>
      <c r="E83">
        <v>820000</v>
      </c>
      <c r="F83" s="1">
        <v>46116</v>
      </c>
      <c r="G83" t="s">
        <v>2</v>
      </c>
      <c r="H83" t="s">
        <v>52</v>
      </c>
      <c r="I83" t="s">
        <v>67</v>
      </c>
      <c r="J83" t="s">
        <v>86</v>
      </c>
      <c r="K83" t="s">
        <v>94</v>
      </c>
      <c r="L83" t="s">
        <v>81</v>
      </c>
      <c r="M83" t="str">
        <f>_xlfn.XLOOKUP(Application[[#This Row],[Company]],Table1[Company],Table1[Industry])</f>
        <v>Technology</v>
      </c>
      <c r="N83" t="str">
        <f>_xlfn.XLOOKUP(Application[[#This Row],[Company]],Table1[Company],Table1[Company_Size])</f>
        <v>Large</v>
      </c>
      <c r="O83" t="str">
        <f>TEXT(Application[[#This Row],[Applied_Date]],"mmmm")</f>
        <v>April</v>
      </c>
    </row>
    <row r="84" spans="1:15">
      <c r="A84" t="s">
        <v>168</v>
      </c>
      <c r="B84" t="s">
        <v>16</v>
      </c>
      <c r="C84" t="s">
        <v>33</v>
      </c>
      <c r="D84" t="s">
        <v>45</v>
      </c>
      <c r="E84">
        <v>800000</v>
      </c>
      <c r="F84" s="1">
        <v>46118</v>
      </c>
      <c r="G84" t="s">
        <v>6</v>
      </c>
      <c r="H84" t="s">
        <v>51</v>
      </c>
      <c r="I84" t="s">
        <v>69</v>
      </c>
      <c r="J84" t="s">
        <v>83</v>
      </c>
      <c r="K84" t="s">
        <v>80</v>
      </c>
      <c r="L84" t="s">
        <v>81</v>
      </c>
      <c r="M84" t="str">
        <f>_xlfn.XLOOKUP(Application[[#This Row],[Company]],Table1[Company],Table1[Industry])</f>
        <v>Technology</v>
      </c>
      <c r="N84" t="str">
        <f>_xlfn.XLOOKUP(Application[[#This Row],[Company]],Table1[Company],Table1[Company_Size])</f>
        <v>Large</v>
      </c>
      <c r="O84" t="str">
        <f>TEXT(Application[[#This Row],[Applied_Date]],"mmmm")</f>
        <v>April</v>
      </c>
    </row>
    <row r="85" spans="1:15">
      <c r="A85" t="s">
        <v>169</v>
      </c>
      <c r="B85" t="s">
        <v>18</v>
      </c>
      <c r="C85" t="s">
        <v>32</v>
      </c>
      <c r="D85" t="s">
        <v>44</v>
      </c>
      <c r="E85">
        <v>590000</v>
      </c>
      <c r="F85" s="1">
        <v>46120</v>
      </c>
      <c r="G85" t="s">
        <v>5</v>
      </c>
      <c r="H85" t="s">
        <v>53</v>
      </c>
      <c r="I85" t="s">
        <v>67</v>
      </c>
      <c r="J85" t="s">
        <v>79</v>
      </c>
      <c r="K85" t="s">
        <v>84</v>
      </c>
      <c r="L85" t="s">
        <v>81</v>
      </c>
      <c r="M85" t="str">
        <f>_xlfn.XLOOKUP(Application[[#This Row],[Company]],Table1[Company],Table1[Industry])</f>
        <v>Software</v>
      </c>
      <c r="N85" t="str">
        <f>_xlfn.XLOOKUP(Application[[#This Row],[Company]],Table1[Company],Table1[Company_Size])</f>
        <v>Medium</v>
      </c>
      <c r="O85" t="str">
        <f>TEXT(Application[[#This Row],[Applied_Date]],"mmmm")</f>
        <v>April</v>
      </c>
    </row>
    <row r="86" spans="1:15">
      <c r="A86" t="s">
        <v>170</v>
      </c>
      <c r="B86" t="s">
        <v>11</v>
      </c>
      <c r="C86" t="s">
        <v>31</v>
      </c>
      <c r="D86" t="s">
        <v>42</v>
      </c>
      <c r="E86">
        <v>690000</v>
      </c>
      <c r="F86" s="1">
        <v>46122</v>
      </c>
      <c r="G86" t="s">
        <v>3</v>
      </c>
      <c r="H86" t="s">
        <v>50</v>
      </c>
      <c r="I86" t="s">
        <v>67</v>
      </c>
      <c r="J86" t="s">
        <v>83</v>
      </c>
      <c r="K86" t="s">
        <v>87</v>
      </c>
      <c r="L86" t="s">
        <v>81</v>
      </c>
      <c r="M86" t="str">
        <f>_xlfn.XLOOKUP(Application[[#This Row],[Company]],Table1[Company],Table1[Industry])</f>
        <v>Fintech</v>
      </c>
      <c r="N86" t="str">
        <f>_xlfn.XLOOKUP(Application[[#This Row],[Company]],Table1[Company],Table1[Company_Size])</f>
        <v>Large</v>
      </c>
      <c r="O86" t="str">
        <f>TEXT(Application[[#This Row],[Applied_Date]],"mmmm")</f>
        <v>April</v>
      </c>
    </row>
    <row r="87" spans="1:15">
      <c r="A87" t="s">
        <v>171</v>
      </c>
      <c r="B87" t="s">
        <v>9</v>
      </c>
      <c r="C87" t="s">
        <v>35</v>
      </c>
      <c r="D87" t="s">
        <v>43</v>
      </c>
      <c r="E87">
        <v>650000</v>
      </c>
      <c r="F87" s="1">
        <v>46124</v>
      </c>
      <c r="G87" t="s">
        <v>2</v>
      </c>
      <c r="H87" t="s">
        <v>51</v>
      </c>
      <c r="I87" t="s">
        <v>69</v>
      </c>
      <c r="J87" t="s">
        <v>86</v>
      </c>
      <c r="K87" t="s">
        <v>80</v>
      </c>
      <c r="L87" t="s">
        <v>81</v>
      </c>
      <c r="M87" t="str">
        <f>_xlfn.XLOOKUP(Application[[#This Row],[Company]],Table1[Company],Table1[Industry])</f>
        <v>IT Services</v>
      </c>
      <c r="N87" t="str">
        <f>_xlfn.XLOOKUP(Application[[#This Row],[Company]],Table1[Company],Table1[Company_Size])</f>
        <v>Large</v>
      </c>
      <c r="O87" t="str">
        <f>TEXT(Application[[#This Row],[Applied_Date]],"mmmm")</f>
        <v>April</v>
      </c>
    </row>
    <row r="88" spans="1:15">
      <c r="A88" t="s">
        <v>172</v>
      </c>
      <c r="B88" t="s">
        <v>10</v>
      </c>
      <c r="C88" t="s">
        <v>36</v>
      </c>
      <c r="D88" t="s">
        <v>46</v>
      </c>
      <c r="E88">
        <v>720000</v>
      </c>
      <c r="F88" s="1">
        <v>46126</v>
      </c>
      <c r="G88" t="s">
        <v>6</v>
      </c>
      <c r="H88" t="s">
        <v>52</v>
      </c>
      <c r="I88" t="s">
        <v>67</v>
      </c>
      <c r="J88" t="s">
        <v>79</v>
      </c>
      <c r="K88" t="s">
        <v>94</v>
      </c>
      <c r="L88" t="s">
        <v>81</v>
      </c>
      <c r="M88" t="str">
        <f>_xlfn.XLOOKUP(Application[[#This Row],[Company]],Table1[Company],Table1[Industry])</f>
        <v>Consulting</v>
      </c>
      <c r="N88" t="str">
        <f>_xlfn.XLOOKUP(Application[[#This Row],[Company]],Table1[Company],Table1[Company_Size])</f>
        <v>Large</v>
      </c>
      <c r="O88" t="str">
        <f>TEXT(Application[[#This Row],[Applied_Date]],"mmmm")</f>
        <v>April</v>
      </c>
    </row>
    <row r="89" spans="1:15">
      <c r="A89" t="s">
        <v>173</v>
      </c>
      <c r="C89" t="s">
        <v>37</v>
      </c>
      <c r="D89" t="s">
        <v>48</v>
      </c>
      <c r="E89">
        <v>580000</v>
      </c>
      <c r="F89" s="1">
        <v>46128</v>
      </c>
      <c r="G89" t="s">
        <v>5</v>
      </c>
      <c r="H89" t="s">
        <v>50</v>
      </c>
      <c r="I89" t="s">
        <v>68</v>
      </c>
      <c r="J89" t="s">
        <v>83</v>
      </c>
      <c r="K89" t="s">
        <v>87</v>
      </c>
      <c r="L89" t="s">
        <v>81</v>
      </c>
      <c r="M89" t="e">
        <f>_xlfn.XLOOKUP(Application[[#This Row],[Company]],Table1[Company],Table1[Industry])</f>
        <v>#N/A</v>
      </c>
      <c r="N89" t="e">
        <f>_xlfn.XLOOKUP(Application[[#This Row],[Company]],Table1[Company],Table1[Company_Size])</f>
        <v>#N/A</v>
      </c>
      <c r="O89" t="str">
        <f>TEXT(Application[[#This Row],[Applied_Date]],"mmmm")</f>
        <v>April</v>
      </c>
    </row>
    <row r="90" spans="1:15">
      <c r="A90" t="s">
        <v>174</v>
      </c>
      <c r="B90" t="s">
        <v>17</v>
      </c>
      <c r="C90" t="s">
        <v>33</v>
      </c>
      <c r="D90" t="s">
        <v>44</v>
      </c>
      <c r="E90">
        <v>670000</v>
      </c>
      <c r="F90" s="1">
        <v>46130</v>
      </c>
      <c r="G90" t="s">
        <v>2</v>
      </c>
      <c r="H90" t="s">
        <v>54</v>
      </c>
      <c r="I90" t="s">
        <v>67</v>
      </c>
      <c r="J90" t="s">
        <v>86</v>
      </c>
      <c r="K90" t="s">
        <v>80</v>
      </c>
      <c r="L90" t="s">
        <v>81</v>
      </c>
      <c r="M90" t="str">
        <f>_xlfn.XLOOKUP(Application[[#This Row],[Company]],Table1[Company],Table1[Industry])</f>
        <v>IT Services</v>
      </c>
      <c r="N90" t="str">
        <f>_xlfn.XLOOKUP(Application[[#This Row],[Company]],Table1[Company],Table1[Company_Size])</f>
        <v>Large</v>
      </c>
      <c r="O90" t="str">
        <f>TEXT(Application[[#This Row],[Applied_Date]],"mmmm")</f>
        <v>April</v>
      </c>
    </row>
    <row r="91" spans="1:15">
      <c r="A91" t="s">
        <v>175</v>
      </c>
      <c r="B91" t="s">
        <v>14</v>
      </c>
      <c r="C91" t="s">
        <v>38</v>
      </c>
      <c r="D91" t="s">
        <v>45</v>
      </c>
      <c r="E91">
        <v>640000</v>
      </c>
      <c r="F91" s="1">
        <v>46132</v>
      </c>
      <c r="G91" t="s">
        <v>3</v>
      </c>
      <c r="H91" t="s">
        <v>51</v>
      </c>
      <c r="I91" t="s">
        <v>69</v>
      </c>
      <c r="J91" t="s">
        <v>79</v>
      </c>
      <c r="K91" t="s">
        <v>84</v>
      </c>
      <c r="L91" t="s">
        <v>81</v>
      </c>
      <c r="M91" t="str">
        <f>_xlfn.XLOOKUP(Application[[#This Row],[Company]],Table1[Company],Table1[Industry])</f>
        <v>IT Services</v>
      </c>
      <c r="N91" t="str">
        <f>_xlfn.XLOOKUP(Application[[#This Row],[Company]],Table1[Company],Table1[Company_Size])</f>
        <v>Large</v>
      </c>
      <c r="O91" t="str">
        <f>TEXT(Application[[#This Row],[Applied_Date]],"mmmm")</f>
        <v>April</v>
      </c>
    </row>
    <row r="92" spans="1:15">
      <c r="A92" t="s">
        <v>176</v>
      </c>
      <c r="B92" t="s">
        <v>19</v>
      </c>
      <c r="C92" t="s">
        <v>40</v>
      </c>
      <c r="D92" t="s">
        <v>42</v>
      </c>
      <c r="E92">
        <v>500000</v>
      </c>
      <c r="F92" s="1">
        <v>46134</v>
      </c>
      <c r="G92" t="s">
        <v>2</v>
      </c>
      <c r="H92" t="s">
        <v>50</v>
      </c>
      <c r="I92" t="s">
        <v>67</v>
      </c>
      <c r="J92" t="s">
        <v>79</v>
      </c>
      <c r="K92" t="s">
        <v>84</v>
      </c>
      <c r="L92" t="s">
        <v>81</v>
      </c>
      <c r="M92" t="str">
        <f>_xlfn.XLOOKUP(Application[[#This Row],[Company]],Table1[Company],Table1[Industry])</f>
        <v>IT Services</v>
      </c>
      <c r="N92" t="str">
        <f>_xlfn.XLOOKUP(Application[[#This Row],[Company]],Table1[Company],Table1[Company_Size])</f>
        <v>Large</v>
      </c>
      <c r="O92" t="str">
        <f>TEXT(Application[[#This Row],[Applied_Date]],"mmmm")</f>
        <v>April</v>
      </c>
    </row>
    <row r="93" spans="1:15">
      <c r="A93" t="s">
        <v>177</v>
      </c>
      <c r="B93" t="s">
        <v>21</v>
      </c>
      <c r="C93" t="s">
        <v>39</v>
      </c>
      <c r="D93" t="s">
        <v>43</v>
      </c>
      <c r="E93">
        <v>590000</v>
      </c>
      <c r="F93" s="1">
        <v>46136</v>
      </c>
      <c r="G93" t="s">
        <v>6</v>
      </c>
      <c r="H93" t="s">
        <v>52</v>
      </c>
      <c r="I93" t="s">
        <v>69</v>
      </c>
      <c r="J93" t="s">
        <v>83</v>
      </c>
      <c r="K93" t="s">
        <v>87</v>
      </c>
      <c r="L93" t="s">
        <v>81</v>
      </c>
      <c r="M93" t="str">
        <f>_xlfn.XLOOKUP(Application[[#This Row],[Company]],Table1[Company],Table1[Industry])</f>
        <v>Technology</v>
      </c>
      <c r="N93" t="str">
        <f>_xlfn.XLOOKUP(Application[[#This Row],[Company]],Table1[Company],Table1[Company_Size])</f>
        <v>Large</v>
      </c>
      <c r="O93" t="str">
        <f>TEXT(Application[[#This Row],[Applied_Date]],"mmmm")</f>
        <v>April</v>
      </c>
    </row>
    <row r="94" spans="1:15">
      <c r="A94" t="s">
        <v>178</v>
      </c>
      <c r="B94" t="s">
        <v>12</v>
      </c>
      <c r="C94" t="s">
        <v>34</v>
      </c>
      <c r="D94" t="s">
        <v>44</v>
      </c>
      <c r="E94">
        <v>710000</v>
      </c>
      <c r="F94" s="1">
        <v>46138</v>
      </c>
      <c r="G94" t="s">
        <v>3</v>
      </c>
      <c r="H94" t="s">
        <v>51</v>
      </c>
      <c r="I94" t="s">
        <v>68</v>
      </c>
      <c r="J94" t="s">
        <v>86</v>
      </c>
      <c r="K94" t="s">
        <v>94</v>
      </c>
      <c r="L94" t="s">
        <v>81</v>
      </c>
      <c r="M94" t="str">
        <f>_xlfn.XLOOKUP(Application[[#This Row],[Company]],Table1[Company],Table1[Industry])</f>
        <v>Consulting</v>
      </c>
      <c r="N94" t="str">
        <f>_xlfn.XLOOKUP(Application[[#This Row],[Company]],Table1[Company],Table1[Company_Size])</f>
        <v>Large</v>
      </c>
      <c r="O94" t="str">
        <f>TEXT(Application[[#This Row],[Applied_Date]],"mmmm")</f>
        <v>April</v>
      </c>
    </row>
    <row r="95" spans="1:15">
      <c r="A95" t="s">
        <v>179</v>
      </c>
      <c r="B95" t="s">
        <v>22</v>
      </c>
      <c r="C95" t="s">
        <v>32</v>
      </c>
      <c r="D95" t="s">
        <v>45</v>
      </c>
      <c r="E95">
        <v>560000</v>
      </c>
      <c r="F95" s="1">
        <v>46140</v>
      </c>
      <c r="G95" t="s">
        <v>5</v>
      </c>
      <c r="H95" t="s">
        <v>50</v>
      </c>
      <c r="I95" t="s">
        <v>67</v>
      </c>
      <c r="J95" t="s">
        <v>79</v>
      </c>
      <c r="K95" t="s">
        <v>84</v>
      </c>
      <c r="L95" t="s">
        <v>81</v>
      </c>
      <c r="M95" t="str">
        <f>_xlfn.XLOOKUP(Application[[#This Row],[Company]],Table1[Company],Table1[Industry])</f>
        <v>IT Services</v>
      </c>
      <c r="N95" t="str">
        <f>_xlfn.XLOOKUP(Application[[#This Row],[Company]],Table1[Company],Table1[Company_Size])</f>
        <v>Large</v>
      </c>
      <c r="O95" t="str">
        <f>TEXT(Application[[#This Row],[Applied_Date]],"mmmm")</f>
        <v>April</v>
      </c>
    </row>
    <row r="96" spans="1:15">
      <c r="A96" t="s">
        <v>180</v>
      </c>
      <c r="B96" t="s">
        <v>15</v>
      </c>
      <c r="C96" t="s">
        <v>31</v>
      </c>
      <c r="D96" t="s">
        <v>42</v>
      </c>
      <c r="E96">
        <v>790000</v>
      </c>
      <c r="F96" s="1">
        <v>46142</v>
      </c>
      <c r="G96" t="s">
        <v>2</v>
      </c>
      <c r="H96" t="s">
        <v>53</v>
      </c>
      <c r="I96" t="s">
        <v>67</v>
      </c>
      <c r="J96" t="s">
        <v>86</v>
      </c>
      <c r="K96" t="s">
        <v>87</v>
      </c>
      <c r="L96" t="s">
        <v>81</v>
      </c>
      <c r="M96" t="str">
        <f>_xlfn.XLOOKUP(Application[[#This Row],[Company]],Table1[Company],Table1[Industry])</f>
        <v>E-Commerce</v>
      </c>
      <c r="N96" t="str">
        <f>_xlfn.XLOOKUP(Application[[#This Row],[Company]],Table1[Company],Table1[Company_Size])</f>
        <v>Large</v>
      </c>
      <c r="O96" t="str">
        <f>TEXT(Application[[#This Row],[Applied_Date]],"mmmm")</f>
        <v>April</v>
      </c>
    </row>
    <row r="97" spans="1:15">
      <c r="A97" t="s">
        <v>181</v>
      </c>
      <c r="B97" t="s">
        <v>13</v>
      </c>
      <c r="C97" t="s">
        <v>33</v>
      </c>
      <c r="D97" t="s">
        <v>43</v>
      </c>
      <c r="E97">
        <v>880000</v>
      </c>
      <c r="F97" s="1">
        <v>46144</v>
      </c>
      <c r="G97" t="s">
        <v>6</v>
      </c>
      <c r="H97" t="s">
        <v>50</v>
      </c>
      <c r="I97" t="s">
        <v>69</v>
      </c>
      <c r="J97" t="s">
        <v>86</v>
      </c>
      <c r="K97" t="s">
        <v>80</v>
      </c>
      <c r="L97" t="s">
        <v>81</v>
      </c>
      <c r="M97" t="str">
        <f>_xlfn.XLOOKUP(Application[[#This Row],[Company]],Table1[Company],Table1[Industry])</f>
        <v>Technology</v>
      </c>
      <c r="N97" t="str">
        <f>_xlfn.XLOOKUP(Application[[#This Row],[Company]],Table1[Company],Table1[Company_Size])</f>
        <v>Large</v>
      </c>
      <c r="O97" t="str">
        <f>TEXT(Application[[#This Row],[Applied_Date]],"mmmm")</f>
        <v>May</v>
      </c>
    </row>
    <row r="98" spans="1:15">
      <c r="A98" t="s">
        <v>182</v>
      </c>
      <c r="B98" t="s">
        <v>16</v>
      </c>
      <c r="C98" t="s">
        <v>32</v>
      </c>
      <c r="D98" t="s">
        <v>44</v>
      </c>
      <c r="E98">
        <v>670000</v>
      </c>
      <c r="F98" s="1">
        <v>46146</v>
      </c>
      <c r="G98" t="s">
        <v>3</v>
      </c>
      <c r="H98" t="s">
        <v>51</v>
      </c>
      <c r="I98" t="s">
        <v>68</v>
      </c>
      <c r="J98" t="s">
        <v>83</v>
      </c>
      <c r="K98" t="s">
        <v>84</v>
      </c>
      <c r="L98" t="s">
        <v>81</v>
      </c>
      <c r="M98" t="str">
        <f>_xlfn.XLOOKUP(Application[[#This Row],[Company]],Table1[Company],Table1[Industry])</f>
        <v>Technology</v>
      </c>
      <c r="N98" t="str">
        <f>_xlfn.XLOOKUP(Application[[#This Row],[Company]],Table1[Company],Table1[Company_Size])</f>
        <v>Large</v>
      </c>
      <c r="O98" t="str">
        <f>TEXT(Application[[#This Row],[Applied_Date]],"mmmm")</f>
        <v>May</v>
      </c>
    </row>
    <row r="99" spans="1:15">
      <c r="A99" t="s">
        <v>183</v>
      </c>
      <c r="B99" t="s">
        <v>18</v>
      </c>
      <c r="C99" t="s">
        <v>31</v>
      </c>
      <c r="D99" t="s">
        <v>42</v>
      </c>
      <c r="E99">
        <v>610000</v>
      </c>
      <c r="F99" s="1">
        <v>46148</v>
      </c>
      <c r="G99" t="s">
        <v>2</v>
      </c>
      <c r="H99" t="s">
        <v>53</v>
      </c>
      <c r="I99" t="s">
        <v>67</v>
      </c>
      <c r="J99" t="s">
        <v>79</v>
      </c>
      <c r="K99" t="s">
        <v>87</v>
      </c>
      <c r="L99" t="s">
        <v>81</v>
      </c>
      <c r="M99" t="str">
        <f>_xlfn.XLOOKUP(Application[[#This Row],[Company]],Table1[Company],Table1[Industry])</f>
        <v>Software</v>
      </c>
      <c r="N99" t="str">
        <f>_xlfn.XLOOKUP(Application[[#This Row],[Company]],Table1[Company],Table1[Company_Size])</f>
        <v>Medium</v>
      </c>
      <c r="O99" t="str">
        <f>TEXT(Application[[#This Row],[Applied_Date]],"mmmm")</f>
        <v>May</v>
      </c>
    </row>
    <row r="100" spans="1:15">
      <c r="A100" t="s">
        <v>184</v>
      </c>
      <c r="B100" t="s">
        <v>11</v>
      </c>
      <c r="C100" t="s">
        <v>35</v>
      </c>
      <c r="D100" t="s">
        <v>43</v>
      </c>
      <c r="E100">
        <v>700000</v>
      </c>
      <c r="F100" s="1">
        <v>46150</v>
      </c>
      <c r="G100" t="s">
        <v>5</v>
      </c>
      <c r="H100" t="s">
        <v>52</v>
      </c>
      <c r="I100" t="s">
        <v>69</v>
      </c>
      <c r="J100" t="s">
        <v>86</v>
      </c>
      <c r="K100" t="s">
        <v>94</v>
      </c>
      <c r="L100" t="s">
        <v>81</v>
      </c>
      <c r="M100" t="str">
        <f>_xlfn.XLOOKUP(Application[[#This Row],[Company]],Table1[Company],Table1[Industry])</f>
        <v>Fintech</v>
      </c>
      <c r="N100" t="str">
        <f>_xlfn.XLOOKUP(Application[[#This Row],[Company]],Table1[Company],Table1[Company_Size])</f>
        <v>Large</v>
      </c>
      <c r="O100" t="str">
        <f>TEXT(Application[[#This Row],[Applied_Date]],"mmmm")</f>
        <v>May</v>
      </c>
    </row>
    <row r="101" spans="1:15">
      <c r="A101" t="s">
        <v>185</v>
      </c>
      <c r="B101" t="s">
        <v>9</v>
      </c>
      <c r="C101" t="s">
        <v>36</v>
      </c>
      <c r="D101" t="s">
        <v>45</v>
      </c>
      <c r="E101">
        <v>620000</v>
      </c>
      <c r="F101" s="1">
        <v>46152</v>
      </c>
      <c r="G101" t="s">
        <v>4</v>
      </c>
      <c r="H101" t="s">
        <v>50</v>
      </c>
      <c r="I101" t="s">
        <v>67</v>
      </c>
      <c r="J101" t="s">
        <v>83</v>
      </c>
      <c r="K101" t="s">
        <v>80</v>
      </c>
      <c r="L101" t="s">
        <v>81</v>
      </c>
      <c r="M101" t="str">
        <f>_xlfn.XLOOKUP(Application[[#This Row],[Company]],Table1[Company],Table1[Industry])</f>
        <v>IT Services</v>
      </c>
      <c r="N101" t="str">
        <f>_xlfn.XLOOKUP(Application[[#This Row],[Company]],Table1[Company],Table1[Company_Size])</f>
        <v>Large</v>
      </c>
      <c r="O101" t="str">
        <f>TEXT(Application[[#This Row],[Applied_Date]],"mmmm")</f>
        <v>May</v>
      </c>
    </row>
    <row r="102" spans="1:15">
      <c r="A102" t="s">
        <v>186</v>
      </c>
      <c r="B102" t="s">
        <v>10</v>
      </c>
      <c r="C102" t="s">
        <v>31</v>
      </c>
      <c r="D102" t="s">
        <v>42</v>
      </c>
      <c r="E102">
        <v>630000</v>
      </c>
      <c r="F102" s="1">
        <v>46154</v>
      </c>
      <c r="G102" t="s">
        <v>2</v>
      </c>
      <c r="H102" t="s">
        <v>50</v>
      </c>
      <c r="I102" t="s">
        <v>67</v>
      </c>
      <c r="J102" t="s">
        <v>79</v>
      </c>
      <c r="K102" t="s">
        <v>87</v>
      </c>
      <c r="L102" t="s">
        <v>81</v>
      </c>
      <c r="M102" t="str">
        <f>_xlfn.XLOOKUP(Application[[#This Row],[Company]],Table1[Company],Table1[Industry])</f>
        <v>Consulting</v>
      </c>
      <c r="N102" t="str">
        <f>_xlfn.XLOOKUP(Application[[#This Row],[Company]],Table1[Company],Table1[Company_Size])</f>
        <v>Large</v>
      </c>
      <c r="O102" t="str">
        <f>TEXT(Application[[#This Row],[Applied_Date]],"mmmm")</f>
        <v>May</v>
      </c>
    </row>
    <row r="103" spans="1:15">
      <c r="A103" t="s">
        <v>187</v>
      </c>
      <c r="B103" t="s">
        <v>20</v>
      </c>
      <c r="C103" t="s">
        <v>32</v>
      </c>
      <c r="D103" t="s">
        <v>44</v>
      </c>
      <c r="E103">
        <v>570000</v>
      </c>
      <c r="F103" s="1">
        <v>46156</v>
      </c>
      <c r="G103" t="s">
        <v>6</v>
      </c>
      <c r="H103" t="s">
        <v>51</v>
      </c>
      <c r="I103" t="s">
        <v>68</v>
      </c>
      <c r="J103" t="s">
        <v>83</v>
      </c>
      <c r="K103" t="s">
        <v>84</v>
      </c>
      <c r="L103" t="s">
        <v>81</v>
      </c>
      <c r="M103" t="str">
        <f>_xlfn.XLOOKUP(Application[[#This Row],[Company]],Table1[Company],Table1[Industry])</f>
        <v>IT Services</v>
      </c>
      <c r="N103" t="str">
        <f>_xlfn.XLOOKUP(Application[[#This Row],[Company]],Table1[Company],Table1[Company_Size])</f>
        <v>Large</v>
      </c>
      <c r="O103" t="str">
        <f>TEXT(Application[[#This Row],[Applied_Date]],"mmmm")</f>
        <v>May</v>
      </c>
    </row>
    <row r="104" spans="1:15">
      <c r="A104" t="s">
        <v>188</v>
      </c>
      <c r="B104" t="s">
        <v>17</v>
      </c>
      <c r="C104" t="s">
        <v>33</v>
      </c>
      <c r="D104" t="s">
        <v>43</v>
      </c>
      <c r="E104">
        <v>680000</v>
      </c>
      <c r="F104" s="1">
        <v>46158</v>
      </c>
      <c r="G104" t="s">
        <v>3</v>
      </c>
      <c r="H104" t="s">
        <v>52</v>
      </c>
      <c r="I104" t="s">
        <v>69</v>
      </c>
      <c r="J104" t="s">
        <v>86</v>
      </c>
      <c r="K104" t="s">
        <v>80</v>
      </c>
      <c r="L104" t="s">
        <v>81</v>
      </c>
      <c r="M104" t="str">
        <f>_xlfn.XLOOKUP(Application[[#This Row],[Company]],Table1[Company],Table1[Industry])</f>
        <v>IT Services</v>
      </c>
      <c r="N104" t="str">
        <f>_xlfn.XLOOKUP(Application[[#This Row],[Company]],Table1[Company],Table1[Company_Size])</f>
        <v>Large</v>
      </c>
      <c r="O104" t="str">
        <f>TEXT(Application[[#This Row],[Applied_Date]],"mmmm")</f>
        <v>May</v>
      </c>
    </row>
    <row r="105" spans="1:15">
      <c r="A105" t="s">
        <v>189</v>
      </c>
      <c r="B105" t="s">
        <v>14</v>
      </c>
      <c r="C105" t="s">
        <v>31</v>
      </c>
      <c r="D105" t="s">
        <v>45</v>
      </c>
      <c r="E105">
        <v>620000</v>
      </c>
      <c r="F105" s="1">
        <v>46160</v>
      </c>
      <c r="G105" t="s">
        <v>5</v>
      </c>
      <c r="H105" t="s">
        <v>50</v>
      </c>
      <c r="I105" t="s">
        <v>67</v>
      </c>
      <c r="J105" t="s">
        <v>79</v>
      </c>
      <c r="K105" t="s">
        <v>87</v>
      </c>
      <c r="L105" t="s">
        <v>81</v>
      </c>
      <c r="M105" t="str">
        <f>_xlfn.XLOOKUP(Application[[#This Row],[Company]],Table1[Company],Table1[Industry])</f>
        <v>IT Services</v>
      </c>
      <c r="N105" t="str">
        <f>_xlfn.XLOOKUP(Application[[#This Row],[Company]],Table1[Company],Table1[Company_Size])</f>
        <v>Large</v>
      </c>
      <c r="O105" t="str">
        <f>TEXT(Application[[#This Row],[Applied_Date]],"mmmm")</f>
        <v>May</v>
      </c>
    </row>
    <row r="106" spans="1:15">
      <c r="A106" t="s">
        <v>190</v>
      </c>
      <c r="B106" t="s">
        <v>19</v>
      </c>
      <c r="C106" t="s">
        <v>34</v>
      </c>
      <c r="D106" t="s">
        <v>42</v>
      </c>
      <c r="E106">
        <v>640000</v>
      </c>
      <c r="F106" s="1">
        <v>46162</v>
      </c>
      <c r="G106" t="s">
        <v>2</v>
      </c>
      <c r="H106" t="s">
        <v>51</v>
      </c>
      <c r="I106" t="s">
        <v>67</v>
      </c>
      <c r="J106" t="s">
        <v>83</v>
      </c>
      <c r="K106" t="s">
        <v>80</v>
      </c>
      <c r="L106" t="s">
        <v>81</v>
      </c>
      <c r="M106" t="str">
        <f>_xlfn.XLOOKUP(Application[[#This Row],[Company]],Table1[Company],Table1[Industry])</f>
        <v>IT Services</v>
      </c>
      <c r="N106" t="str">
        <f>_xlfn.XLOOKUP(Application[[#This Row],[Company]],Table1[Company],Table1[Company_Size])</f>
        <v>Large</v>
      </c>
      <c r="O106" t="str">
        <f>TEXT(Application[[#This Row],[Applied_Date]],"mmmm")</f>
        <v>May</v>
      </c>
    </row>
    <row r="107" spans="1:15">
      <c r="A107" t="s">
        <v>191</v>
      </c>
      <c r="B107" t="s">
        <v>21</v>
      </c>
      <c r="C107" t="s">
        <v>32</v>
      </c>
      <c r="D107" t="s">
        <v>44</v>
      </c>
      <c r="E107">
        <v>600000</v>
      </c>
      <c r="F107" s="1">
        <v>46164</v>
      </c>
      <c r="G107" t="s">
        <v>3</v>
      </c>
      <c r="H107" t="s">
        <v>52</v>
      </c>
      <c r="I107" t="s">
        <v>68</v>
      </c>
      <c r="J107" t="s">
        <v>86</v>
      </c>
      <c r="K107" t="s">
        <v>84</v>
      </c>
      <c r="L107" t="s">
        <v>81</v>
      </c>
      <c r="M107" t="str">
        <f>_xlfn.XLOOKUP(Application[[#This Row],[Company]],Table1[Company],Table1[Industry])</f>
        <v>Technology</v>
      </c>
      <c r="N107" t="str">
        <f>_xlfn.XLOOKUP(Application[[#This Row],[Company]],Table1[Company],Table1[Company_Size])</f>
        <v>Large</v>
      </c>
      <c r="O107" t="str">
        <f>TEXT(Application[[#This Row],[Applied_Date]],"mmmm")</f>
        <v>May</v>
      </c>
    </row>
    <row r="108" spans="1:15">
      <c r="A108" t="s">
        <v>192</v>
      </c>
      <c r="B108" t="s">
        <v>12</v>
      </c>
      <c r="C108" t="s">
        <v>35</v>
      </c>
      <c r="D108" t="s">
        <v>43</v>
      </c>
      <c r="E108">
        <v>730000</v>
      </c>
      <c r="F108" s="1">
        <v>46166</v>
      </c>
      <c r="G108" t="s">
        <v>6</v>
      </c>
      <c r="H108" t="s">
        <v>50</v>
      </c>
      <c r="I108" t="s">
        <v>69</v>
      </c>
      <c r="J108" t="s">
        <v>86</v>
      </c>
      <c r="K108" t="s">
        <v>94</v>
      </c>
      <c r="L108" t="s">
        <v>81</v>
      </c>
      <c r="M108" t="str">
        <f>_xlfn.XLOOKUP(Application[[#This Row],[Company]],Table1[Company],Table1[Industry])</f>
        <v>Consulting</v>
      </c>
      <c r="N108" t="str">
        <f>_xlfn.XLOOKUP(Application[[#This Row],[Company]],Table1[Company],Table1[Company_Size])</f>
        <v>Large</v>
      </c>
      <c r="O108" t="str">
        <f>TEXT(Application[[#This Row],[Applied_Date]],"mmmm")</f>
        <v>May</v>
      </c>
    </row>
    <row r="109" spans="1:15">
      <c r="A109" t="s">
        <v>193</v>
      </c>
      <c r="B109" t="s">
        <v>22</v>
      </c>
      <c r="C109" t="s">
        <v>37</v>
      </c>
      <c r="D109" t="s">
        <v>45</v>
      </c>
      <c r="E109">
        <v>570000</v>
      </c>
      <c r="F109" s="1">
        <v>46168</v>
      </c>
      <c r="G109" t="s">
        <v>2</v>
      </c>
      <c r="H109" t="s">
        <v>51</v>
      </c>
      <c r="I109" t="s">
        <v>67</v>
      </c>
      <c r="J109" t="s">
        <v>79</v>
      </c>
      <c r="K109" t="s">
        <v>87</v>
      </c>
      <c r="L109" t="s">
        <v>81</v>
      </c>
      <c r="M109" t="str">
        <f>_xlfn.XLOOKUP(Application[[#This Row],[Company]],Table1[Company],Table1[Industry])</f>
        <v>IT Services</v>
      </c>
      <c r="N109" t="str">
        <f>_xlfn.XLOOKUP(Application[[#This Row],[Company]],Table1[Company],Table1[Company_Size])</f>
        <v>Large</v>
      </c>
      <c r="O109" t="str">
        <f>TEXT(Application[[#This Row],[Applied_Date]],"mmmm")</f>
        <v>May</v>
      </c>
    </row>
    <row r="110" spans="1:15">
      <c r="A110" t="s">
        <v>194</v>
      </c>
      <c r="B110" t="s">
        <v>18</v>
      </c>
      <c r="C110" t="s">
        <v>33</v>
      </c>
      <c r="D110" t="s">
        <v>42</v>
      </c>
      <c r="E110">
        <v>690000</v>
      </c>
      <c r="F110" s="1">
        <v>46170</v>
      </c>
      <c r="G110" t="s">
        <v>5</v>
      </c>
      <c r="H110" t="s">
        <v>53</v>
      </c>
      <c r="I110" t="s">
        <v>67</v>
      </c>
      <c r="J110" t="s">
        <v>83</v>
      </c>
      <c r="K110" t="s">
        <v>80</v>
      </c>
      <c r="L110" t="s">
        <v>81</v>
      </c>
      <c r="M110" t="str">
        <f>_xlfn.XLOOKUP(Application[[#This Row],[Company]],Table1[Company],Table1[Industry])</f>
        <v>Software</v>
      </c>
      <c r="N110" t="str">
        <f>_xlfn.XLOOKUP(Application[[#This Row],[Company]],Table1[Company],Table1[Company_Size])</f>
        <v>Medium</v>
      </c>
      <c r="O110" t="str">
        <f>TEXT(Application[[#This Row],[Applied_Date]],"mmmm")</f>
        <v>May</v>
      </c>
    </row>
    <row r="111" spans="1:15">
      <c r="A111" t="s">
        <v>195</v>
      </c>
      <c r="B111" t="s">
        <v>15</v>
      </c>
      <c r="C111" t="s">
        <v>34</v>
      </c>
      <c r="D111" t="s">
        <v>43</v>
      </c>
      <c r="E111">
        <v>780000</v>
      </c>
      <c r="F111" s="1">
        <v>46172</v>
      </c>
      <c r="G111" t="s">
        <v>3</v>
      </c>
      <c r="H111" t="s">
        <v>50</v>
      </c>
      <c r="I111" t="s">
        <v>69</v>
      </c>
      <c r="J111" t="s">
        <v>86</v>
      </c>
      <c r="K111" t="s">
        <v>94</v>
      </c>
      <c r="L111" t="s">
        <v>81</v>
      </c>
      <c r="M111" t="str">
        <f>_xlfn.XLOOKUP(Application[[#This Row],[Company]],Table1[Company],Table1[Industry])</f>
        <v>E-Commerce</v>
      </c>
      <c r="N111" t="str">
        <f>_xlfn.XLOOKUP(Application[[#This Row],[Company]],Table1[Company],Table1[Company_Size])</f>
        <v>Large</v>
      </c>
      <c r="O111" t="str">
        <f>TEXT(Application[[#This Row],[Applied_Date]],"mmmm")</f>
        <v>May</v>
      </c>
    </row>
    <row r="112" spans="1:15">
      <c r="A112" t="s">
        <v>196</v>
      </c>
      <c r="B112" t="s">
        <v>13</v>
      </c>
      <c r="C112" t="s">
        <v>31</v>
      </c>
      <c r="D112" t="s">
        <v>44</v>
      </c>
      <c r="E112">
        <v>790000</v>
      </c>
      <c r="F112" s="1">
        <v>46174</v>
      </c>
      <c r="G112" t="s">
        <v>2</v>
      </c>
      <c r="H112" t="s">
        <v>53</v>
      </c>
      <c r="I112" t="s">
        <v>67</v>
      </c>
      <c r="J112" t="s">
        <v>79</v>
      </c>
      <c r="K112" t="s">
        <v>87</v>
      </c>
      <c r="L112" t="s">
        <v>81</v>
      </c>
      <c r="M112" t="str">
        <f>_xlfn.XLOOKUP(Application[[#This Row],[Company]],Table1[Company],Table1[Industry])</f>
        <v>Technology</v>
      </c>
      <c r="N112" t="str">
        <f>_xlfn.XLOOKUP(Application[[#This Row],[Company]],Table1[Company],Table1[Company_Size])</f>
        <v>Large</v>
      </c>
      <c r="O112" t="str">
        <f>TEXT(Application[[#This Row],[Applied_Date]],"mmmm")</f>
        <v>June</v>
      </c>
    </row>
    <row r="113" spans="1:15">
      <c r="A113" t="s">
        <v>197</v>
      </c>
      <c r="B113" t="s">
        <v>16</v>
      </c>
      <c r="C113" t="s">
        <v>32</v>
      </c>
      <c r="D113" t="s">
        <v>42</v>
      </c>
      <c r="E113">
        <v>700000</v>
      </c>
      <c r="F113" s="1">
        <v>46176</v>
      </c>
      <c r="G113" t="s">
        <v>6</v>
      </c>
      <c r="H113" t="s">
        <v>51</v>
      </c>
      <c r="I113" t="s">
        <v>67</v>
      </c>
      <c r="J113" t="s">
        <v>83</v>
      </c>
      <c r="K113" t="s">
        <v>84</v>
      </c>
      <c r="L113" t="s">
        <v>81</v>
      </c>
      <c r="M113" t="str">
        <f>_xlfn.XLOOKUP(Application[[#This Row],[Company]],Table1[Company],Table1[Industry])</f>
        <v>Technology</v>
      </c>
      <c r="N113" t="str">
        <f>_xlfn.XLOOKUP(Application[[#This Row],[Company]],Table1[Company],Table1[Company_Size])</f>
        <v>Large</v>
      </c>
      <c r="O113" t="str">
        <f>TEXT(Application[[#This Row],[Applied_Date]],"mmmm")</f>
        <v>June</v>
      </c>
    </row>
    <row r="114" spans="1:15">
      <c r="A114" t="s">
        <v>198</v>
      </c>
      <c r="B114" t="s">
        <v>11</v>
      </c>
      <c r="C114" t="s">
        <v>33</v>
      </c>
      <c r="D114" t="s">
        <v>45</v>
      </c>
      <c r="E114">
        <v>740000</v>
      </c>
      <c r="F114" s="1">
        <v>46178</v>
      </c>
      <c r="G114" t="s">
        <v>3</v>
      </c>
      <c r="H114" t="s">
        <v>52</v>
      </c>
      <c r="I114" t="s">
        <v>69</v>
      </c>
      <c r="J114" t="s">
        <v>86</v>
      </c>
      <c r="K114" t="s">
        <v>80</v>
      </c>
      <c r="L114" t="s">
        <v>81</v>
      </c>
      <c r="M114" t="str">
        <f>_xlfn.XLOOKUP(Application[[#This Row],[Company]],Table1[Company],Table1[Industry])</f>
        <v>Fintech</v>
      </c>
      <c r="N114" t="str">
        <f>_xlfn.XLOOKUP(Application[[#This Row],[Company]],Table1[Company],Table1[Company_Size])</f>
        <v>Large</v>
      </c>
      <c r="O114" t="str">
        <f>TEXT(Application[[#This Row],[Applied_Date]],"mmmm")</f>
        <v>June</v>
      </c>
    </row>
    <row r="115" spans="1:15">
      <c r="A115" t="s">
        <v>199</v>
      </c>
      <c r="B115" t="s">
        <v>9</v>
      </c>
      <c r="C115" t="s">
        <v>31</v>
      </c>
      <c r="D115" t="s">
        <v>43</v>
      </c>
      <c r="E115">
        <v>590000</v>
      </c>
      <c r="F115" s="1">
        <v>46180</v>
      </c>
      <c r="G115" t="s">
        <v>5</v>
      </c>
      <c r="H115" t="s">
        <v>50</v>
      </c>
      <c r="I115" t="s">
        <v>68</v>
      </c>
      <c r="J115" t="s">
        <v>79</v>
      </c>
      <c r="K115" t="s">
        <v>87</v>
      </c>
      <c r="L115" t="s">
        <v>81</v>
      </c>
      <c r="M115" t="str">
        <f>_xlfn.XLOOKUP(Application[[#This Row],[Company]],Table1[Company],Table1[Industry])</f>
        <v>IT Services</v>
      </c>
      <c r="N115" t="str">
        <f>_xlfn.XLOOKUP(Application[[#This Row],[Company]],Table1[Company],Table1[Company_Size])</f>
        <v>Large</v>
      </c>
      <c r="O115" t="str">
        <f>TEXT(Application[[#This Row],[Applied_Date]],"mmmm")</f>
        <v>June</v>
      </c>
    </row>
    <row r="116" spans="1:15">
      <c r="A116" t="s">
        <v>200</v>
      </c>
      <c r="B116" t="s">
        <v>10</v>
      </c>
      <c r="C116" t="s">
        <v>34</v>
      </c>
      <c r="D116" t="s">
        <v>42</v>
      </c>
      <c r="E116">
        <v>690000</v>
      </c>
      <c r="F116" s="1">
        <v>46182</v>
      </c>
      <c r="G116" t="s">
        <v>2</v>
      </c>
      <c r="H116" t="s">
        <v>51</v>
      </c>
      <c r="I116" t="s">
        <v>67</v>
      </c>
      <c r="J116" t="s">
        <v>83</v>
      </c>
      <c r="K116" t="s">
        <v>80</v>
      </c>
      <c r="L116" t="s">
        <v>81</v>
      </c>
      <c r="M116" t="str">
        <f>_xlfn.XLOOKUP(Application[[#This Row],[Company]],Table1[Company],Table1[Industry])</f>
        <v>Consulting</v>
      </c>
      <c r="N116" t="str">
        <f>_xlfn.XLOOKUP(Application[[#This Row],[Company]],Table1[Company],Table1[Company_Size])</f>
        <v>Large</v>
      </c>
      <c r="O116" t="str">
        <f>TEXT(Application[[#This Row],[Applied_Date]],"mmmm")</f>
        <v>June</v>
      </c>
    </row>
    <row r="117" spans="1:15">
      <c r="A117" t="s">
        <v>201</v>
      </c>
      <c r="B117" t="s">
        <v>20</v>
      </c>
      <c r="C117" t="s">
        <v>33</v>
      </c>
      <c r="D117" t="s">
        <v>44</v>
      </c>
      <c r="E117">
        <v>610000</v>
      </c>
      <c r="F117" s="1">
        <v>46184</v>
      </c>
      <c r="G117" t="s">
        <v>6</v>
      </c>
      <c r="H117" t="s">
        <v>50</v>
      </c>
      <c r="I117" t="s">
        <v>68</v>
      </c>
      <c r="J117" t="s">
        <v>86</v>
      </c>
      <c r="K117" t="s">
        <v>80</v>
      </c>
      <c r="L117" t="s">
        <v>81</v>
      </c>
      <c r="M117" t="str">
        <f>_xlfn.XLOOKUP(Application[[#This Row],[Company]],Table1[Company],Table1[Industry])</f>
        <v>IT Services</v>
      </c>
      <c r="N117" t="str">
        <f>_xlfn.XLOOKUP(Application[[#This Row],[Company]],Table1[Company],Table1[Company_Size])</f>
        <v>Large</v>
      </c>
      <c r="O117" t="str">
        <f>TEXT(Application[[#This Row],[Applied_Date]],"mmmm")</f>
        <v>June</v>
      </c>
    </row>
    <row r="118" spans="1:15">
      <c r="A118" t="s">
        <v>202</v>
      </c>
      <c r="B118" t="s">
        <v>17</v>
      </c>
      <c r="C118" t="s">
        <v>32</v>
      </c>
      <c r="D118" t="s">
        <v>43</v>
      </c>
      <c r="E118">
        <v>560000</v>
      </c>
      <c r="F118" s="1">
        <v>46186</v>
      </c>
      <c r="G118" t="s">
        <v>3</v>
      </c>
      <c r="H118" t="s">
        <v>52</v>
      </c>
      <c r="I118" t="s">
        <v>69</v>
      </c>
      <c r="J118" t="s">
        <v>79</v>
      </c>
      <c r="K118" t="s">
        <v>84</v>
      </c>
      <c r="L118" t="s">
        <v>81</v>
      </c>
      <c r="M118" t="str">
        <f>_xlfn.XLOOKUP(Application[[#This Row],[Company]],Table1[Company],Table1[Industry])</f>
        <v>IT Services</v>
      </c>
      <c r="N118" t="str">
        <f>_xlfn.XLOOKUP(Application[[#This Row],[Company]],Table1[Company],Table1[Company_Size])</f>
        <v>Large</v>
      </c>
      <c r="O118" t="str">
        <f>TEXT(Application[[#This Row],[Applied_Date]],"mmmm")</f>
        <v>June</v>
      </c>
    </row>
    <row r="119" spans="1:15">
      <c r="A119" t="s">
        <v>203</v>
      </c>
      <c r="B119" t="s">
        <v>14</v>
      </c>
      <c r="C119" t="s">
        <v>31</v>
      </c>
      <c r="D119" t="s">
        <v>42</v>
      </c>
      <c r="E119">
        <v>640000</v>
      </c>
      <c r="F119" s="1">
        <v>46188</v>
      </c>
      <c r="G119" t="s">
        <v>2</v>
      </c>
      <c r="H119" t="s">
        <v>51</v>
      </c>
      <c r="I119" t="s">
        <v>67</v>
      </c>
      <c r="J119" t="s">
        <v>83</v>
      </c>
      <c r="K119" t="s">
        <v>87</v>
      </c>
      <c r="L119" t="s">
        <v>81</v>
      </c>
      <c r="M119" t="str">
        <f>_xlfn.XLOOKUP(Application[[#This Row],[Company]],Table1[Company],Table1[Industry])</f>
        <v>IT Services</v>
      </c>
      <c r="N119" t="str">
        <f>_xlfn.XLOOKUP(Application[[#This Row],[Company]],Table1[Company],Table1[Company_Size])</f>
        <v>Large</v>
      </c>
      <c r="O119" t="str">
        <f>TEXT(Application[[#This Row],[Applied_Date]],"mmmm")</f>
        <v>June</v>
      </c>
    </row>
    <row r="120" spans="1:15">
      <c r="A120" t="s">
        <v>204</v>
      </c>
      <c r="B120" t="s">
        <v>19</v>
      </c>
      <c r="C120" t="s">
        <v>33</v>
      </c>
      <c r="D120" t="s">
        <v>45</v>
      </c>
      <c r="E120">
        <v>700000</v>
      </c>
      <c r="F120" s="1">
        <v>46190</v>
      </c>
      <c r="G120" t="s">
        <v>5</v>
      </c>
      <c r="H120" t="s">
        <v>50</v>
      </c>
      <c r="I120" t="s">
        <v>68</v>
      </c>
      <c r="J120" t="s">
        <v>86</v>
      </c>
      <c r="K120" t="s">
        <v>80</v>
      </c>
      <c r="L120" t="s">
        <v>81</v>
      </c>
      <c r="M120" t="str">
        <f>_xlfn.XLOOKUP(Application[[#This Row],[Company]],Table1[Company],Table1[Industry])</f>
        <v>IT Services</v>
      </c>
      <c r="N120" t="str">
        <f>_xlfn.XLOOKUP(Application[[#This Row],[Company]],Table1[Company],Table1[Company_Size])</f>
        <v>Large</v>
      </c>
      <c r="O120" t="str">
        <f>TEXT(Application[[#This Row],[Applied_Date]],"mmmm")</f>
        <v>June</v>
      </c>
    </row>
    <row r="121" spans="1:15">
      <c r="A121" t="s">
        <v>205</v>
      </c>
      <c r="B121" t="s">
        <v>21</v>
      </c>
      <c r="C121" t="s">
        <v>34</v>
      </c>
      <c r="D121" t="s">
        <v>44</v>
      </c>
      <c r="E121">
        <v>670000</v>
      </c>
      <c r="F121" s="1">
        <v>46192</v>
      </c>
      <c r="G121" t="s">
        <v>6</v>
      </c>
      <c r="H121" t="s">
        <v>52</v>
      </c>
      <c r="I121" t="s">
        <v>67</v>
      </c>
      <c r="J121" t="s">
        <v>79</v>
      </c>
      <c r="K121" t="s">
        <v>94</v>
      </c>
      <c r="L121" t="s">
        <v>81</v>
      </c>
      <c r="M121" t="str">
        <f>_xlfn.XLOOKUP(Application[[#This Row],[Company]],Table1[Company],Table1[Industry])</f>
        <v>Technology</v>
      </c>
      <c r="N121" t="str">
        <f>_xlfn.XLOOKUP(Application[[#This Row],[Company]],Table1[Company],Table1[Company_Size])</f>
        <v>Large</v>
      </c>
      <c r="O121" t="str">
        <f>TEXT(Application[[#This Row],[Applied_Date]],"mmmm")</f>
        <v>June</v>
      </c>
    </row>
    <row r="122" spans="1:15">
      <c r="A122" t="s">
        <v>206</v>
      </c>
      <c r="B122" t="s">
        <v>12</v>
      </c>
      <c r="C122" t="s">
        <v>32</v>
      </c>
      <c r="D122" t="s">
        <v>43</v>
      </c>
      <c r="E122">
        <v>710000</v>
      </c>
      <c r="F122" s="1">
        <v>46194</v>
      </c>
      <c r="G122" t="s">
        <v>3</v>
      </c>
      <c r="H122" t="s">
        <v>51</v>
      </c>
      <c r="I122" t="s">
        <v>69</v>
      </c>
      <c r="J122" t="s">
        <v>83</v>
      </c>
      <c r="K122" t="s">
        <v>84</v>
      </c>
      <c r="L122" t="s">
        <v>81</v>
      </c>
      <c r="M122" t="str">
        <f>_xlfn.XLOOKUP(Application[[#This Row],[Company]],Table1[Company],Table1[Industry])</f>
        <v>Consulting</v>
      </c>
      <c r="N122" t="str">
        <f>_xlfn.XLOOKUP(Application[[#This Row],[Company]],Table1[Company],Table1[Company_Size])</f>
        <v>Large</v>
      </c>
      <c r="O122" t="str">
        <f>TEXT(Application[[#This Row],[Applied_Date]],"mmmm")</f>
        <v>June</v>
      </c>
    </row>
    <row r="123" spans="1:15">
      <c r="A123" t="s">
        <v>207</v>
      </c>
      <c r="B123" t="s">
        <v>22</v>
      </c>
      <c r="C123" t="s">
        <v>31</v>
      </c>
      <c r="D123" t="s">
        <v>42</v>
      </c>
      <c r="E123">
        <v>580000</v>
      </c>
      <c r="F123" s="1">
        <v>46196</v>
      </c>
      <c r="G123" t="s">
        <v>2</v>
      </c>
      <c r="H123" t="s">
        <v>50</v>
      </c>
      <c r="I123" t="s">
        <v>67</v>
      </c>
      <c r="J123" t="s">
        <v>79</v>
      </c>
      <c r="K123" t="s">
        <v>87</v>
      </c>
      <c r="L123" t="s">
        <v>81</v>
      </c>
      <c r="M123" t="str">
        <f>_xlfn.XLOOKUP(Application[[#This Row],[Company]],Table1[Company],Table1[Industry])</f>
        <v>IT Services</v>
      </c>
      <c r="N123" t="str">
        <f>_xlfn.XLOOKUP(Application[[#This Row],[Company]],Table1[Company],Table1[Company_Size])</f>
        <v>Large</v>
      </c>
      <c r="O123" t="str">
        <f>TEXT(Application[[#This Row],[Applied_Date]],"mmmm")</f>
        <v>June</v>
      </c>
    </row>
    <row r="124" spans="1:15">
      <c r="A124" t="s">
        <v>208</v>
      </c>
      <c r="B124" t="s">
        <v>18</v>
      </c>
      <c r="C124" t="s">
        <v>37</v>
      </c>
      <c r="D124" t="s">
        <v>44</v>
      </c>
      <c r="E124">
        <v>540000</v>
      </c>
      <c r="F124" s="1">
        <v>46198</v>
      </c>
      <c r="G124" t="s">
        <v>5</v>
      </c>
      <c r="H124" t="s">
        <v>53</v>
      </c>
      <c r="I124" t="s">
        <v>68</v>
      </c>
      <c r="J124" t="s">
        <v>83</v>
      </c>
      <c r="K124" t="s">
        <v>80</v>
      </c>
      <c r="L124" t="s">
        <v>81</v>
      </c>
      <c r="M124" t="str">
        <f>_xlfn.XLOOKUP(Application[[#This Row],[Company]],Table1[Company],Table1[Industry])</f>
        <v>Software</v>
      </c>
      <c r="N124" t="str">
        <f>_xlfn.XLOOKUP(Application[[#This Row],[Company]],Table1[Company],Table1[Company_Size])</f>
        <v>Medium</v>
      </c>
      <c r="O124" t="str">
        <f>TEXT(Application[[#This Row],[Applied_Date]],"mmmm")</f>
        <v>June</v>
      </c>
    </row>
    <row r="125" spans="1:15">
      <c r="A125" t="s">
        <v>209</v>
      </c>
      <c r="B125" t="s">
        <v>15</v>
      </c>
      <c r="C125" t="s">
        <v>33</v>
      </c>
      <c r="D125" t="s">
        <v>43</v>
      </c>
      <c r="E125">
        <v>860000</v>
      </c>
      <c r="F125" s="1">
        <v>46200</v>
      </c>
      <c r="G125" t="s">
        <v>6</v>
      </c>
      <c r="H125" t="s">
        <v>50</v>
      </c>
      <c r="I125" t="s">
        <v>69</v>
      </c>
      <c r="J125" t="s">
        <v>86</v>
      </c>
      <c r="K125" t="s">
        <v>80</v>
      </c>
      <c r="L125" t="s">
        <v>81</v>
      </c>
      <c r="M125" t="str">
        <f>_xlfn.XLOOKUP(Application[[#This Row],[Company]],Table1[Company],Table1[Industry])</f>
        <v>E-Commerce</v>
      </c>
      <c r="N125" t="str">
        <f>_xlfn.XLOOKUP(Application[[#This Row],[Company]],Table1[Company],Table1[Company_Size])</f>
        <v>Large</v>
      </c>
      <c r="O125" t="str">
        <f>TEXT(Application[[#This Row],[Applied_Date]],"mmmm")</f>
        <v>June</v>
      </c>
    </row>
    <row r="126" spans="1:15">
      <c r="A126" t="s">
        <v>210</v>
      </c>
      <c r="B126" t="s">
        <v>13</v>
      </c>
      <c r="C126" t="s">
        <v>32</v>
      </c>
      <c r="D126" t="s">
        <v>42</v>
      </c>
      <c r="E126">
        <v>810000</v>
      </c>
      <c r="F126" s="1">
        <v>46202</v>
      </c>
      <c r="G126" t="s">
        <v>3</v>
      </c>
      <c r="H126" t="s">
        <v>53</v>
      </c>
      <c r="I126" t="s">
        <v>67</v>
      </c>
      <c r="J126" t="s">
        <v>86</v>
      </c>
      <c r="K126" t="s">
        <v>84</v>
      </c>
      <c r="L126" t="s">
        <v>81</v>
      </c>
      <c r="M126" t="str">
        <f>_xlfn.XLOOKUP(Application[[#This Row],[Company]],Table1[Company],Table1[Industry])</f>
        <v>Technology</v>
      </c>
      <c r="N126" t="str">
        <f>_xlfn.XLOOKUP(Application[[#This Row],[Company]],Table1[Company],Table1[Company_Size])</f>
        <v>Large</v>
      </c>
      <c r="O126" t="str">
        <f>TEXT(Application[[#This Row],[Applied_Date]],"mmmm")</f>
        <v>June</v>
      </c>
    </row>
    <row r="127" spans="1:15">
      <c r="A127" t="s">
        <v>211</v>
      </c>
      <c r="B127" t="s">
        <v>16</v>
      </c>
      <c r="C127" t="s">
        <v>31</v>
      </c>
      <c r="D127" t="s">
        <v>45</v>
      </c>
      <c r="E127">
        <v>720000</v>
      </c>
      <c r="F127" s="1">
        <v>46204</v>
      </c>
      <c r="G127" t="s">
        <v>2</v>
      </c>
      <c r="H127" t="s">
        <v>51</v>
      </c>
      <c r="I127" t="s">
        <v>67</v>
      </c>
      <c r="J127" t="s">
        <v>79</v>
      </c>
      <c r="K127" t="s">
        <v>87</v>
      </c>
      <c r="L127" t="s">
        <v>81</v>
      </c>
      <c r="M127" t="str">
        <f>_xlfn.XLOOKUP(Application[[#This Row],[Company]],Table1[Company],Table1[Industry])</f>
        <v>Technology</v>
      </c>
      <c r="N127" t="str">
        <f>_xlfn.XLOOKUP(Application[[#This Row],[Company]],Table1[Company],Table1[Company_Size])</f>
        <v>Large</v>
      </c>
      <c r="O127" t="str">
        <f>TEXT(Application[[#This Row],[Applied_Date]],"mmmm")</f>
        <v>July</v>
      </c>
    </row>
    <row r="128" spans="1:15">
      <c r="A128" t="s">
        <v>212</v>
      </c>
      <c r="B128" t="s">
        <v>11</v>
      </c>
      <c r="C128" t="s">
        <v>34</v>
      </c>
      <c r="D128" t="s">
        <v>43</v>
      </c>
      <c r="E128">
        <v>730000</v>
      </c>
      <c r="F128" s="1">
        <v>46206</v>
      </c>
      <c r="G128" t="s">
        <v>6</v>
      </c>
      <c r="H128" t="s">
        <v>52</v>
      </c>
      <c r="I128" t="s">
        <v>69</v>
      </c>
      <c r="J128" t="s">
        <v>83</v>
      </c>
      <c r="K128" t="s">
        <v>80</v>
      </c>
      <c r="L128" t="s">
        <v>81</v>
      </c>
      <c r="M128" t="str">
        <f>_xlfn.XLOOKUP(Application[[#This Row],[Company]],Table1[Company],Table1[Industry])</f>
        <v>Fintech</v>
      </c>
      <c r="N128" t="str">
        <f>_xlfn.XLOOKUP(Application[[#This Row],[Company]],Table1[Company],Table1[Company_Size])</f>
        <v>Large</v>
      </c>
      <c r="O128" t="str">
        <f>TEXT(Application[[#This Row],[Applied_Date]],"mmmm")</f>
        <v>July</v>
      </c>
    </row>
    <row r="129" spans="1:15">
      <c r="A129" t="s">
        <v>213</v>
      </c>
      <c r="B129" t="s">
        <v>9</v>
      </c>
      <c r="C129" t="s">
        <v>33</v>
      </c>
      <c r="D129" t="s">
        <v>44</v>
      </c>
      <c r="E129">
        <v>640000</v>
      </c>
      <c r="F129" s="1">
        <v>46208</v>
      </c>
      <c r="G129" t="s">
        <v>5</v>
      </c>
      <c r="H129" t="s">
        <v>50</v>
      </c>
      <c r="I129" t="s">
        <v>68</v>
      </c>
      <c r="J129" t="s">
        <v>86</v>
      </c>
      <c r="K129" t="s">
        <v>80</v>
      </c>
      <c r="L129" t="s">
        <v>81</v>
      </c>
      <c r="M129" t="str">
        <f>_xlfn.XLOOKUP(Application[[#This Row],[Company]],Table1[Company],Table1[Industry])</f>
        <v>IT Services</v>
      </c>
      <c r="N129" t="str">
        <f>_xlfn.XLOOKUP(Application[[#This Row],[Company]],Table1[Company],Table1[Company_Size])</f>
        <v>Large</v>
      </c>
      <c r="O129" t="str">
        <f>TEXT(Application[[#This Row],[Applied_Date]],"mmmm")</f>
        <v>July</v>
      </c>
    </row>
    <row r="130" spans="1:15">
      <c r="A130" t="s">
        <v>214</v>
      </c>
      <c r="B130" t="s">
        <v>10</v>
      </c>
      <c r="C130" t="s">
        <v>32</v>
      </c>
      <c r="D130" t="s">
        <v>42</v>
      </c>
      <c r="E130">
        <v>660000</v>
      </c>
      <c r="F130" s="1">
        <v>46210</v>
      </c>
      <c r="G130" t="s">
        <v>2</v>
      </c>
      <c r="H130" t="s">
        <v>51</v>
      </c>
      <c r="I130" t="s">
        <v>67</v>
      </c>
      <c r="J130" t="s">
        <v>79</v>
      </c>
      <c r="K130" t="s">
        <v>84</v>
      </c>
      <c r="L130" t="s">
        <v>81</v>
      </c>
      <c r="M130" t="str">
        <f>_xlfn.XLOOKUP(Application[[#This Row],[Company]],Table1[Company],Table1[Industry])</f>
        <v>Consulting</v>
      </c>
      <c r="N130" t="str">
        <f>_xlfn.XLOOKUP(Application[[#This Row],[Company]],Table1[Company],Table1[Company_Size])</f>
        <v>Large</v>
      </c>
      <c r="O130" t="str">
        <f>TEXT(Application[[#This Row],[Applied_Date]],"mmmm")</f>
        <v>July</v>
      </c>
    </row>
    <row r="131" spans="1:15">
      <c r="A131" t="s">
        <v>215</v>
      </c>
      <c r="B131" t="s">
        <v>20</v>
      </c>
      <c r="C131" t="s">
        <v>31</v>
      </c>
      <c r="D131" t="s">
        <v>43</v>
      </c>
      <c r="E131">
        <v>600000</v>
      </c>
      <c r="F131" s="1">
        <v>46212</v>
      </c>
      <c r="G131" t="s">
        <v>3</v>
      </c>
      <c r="H131" t="s">
        <v>50</v>
      </c>
      <c r="I131" t="s">
        <v>69</v>
      </c>
      <c r="J131" t="s">
        <v>83</v>
      </c>
      <c r="K131" t="s">
        <v>87</v>
      </c>
      <c r="L131" t="s">
        <v>81</v>
      </c>
      <c r="M131" t="str">
        <f>_xlfn.XLOOKUP(Application[[#This Row],[Company]],Table1[Company],Table1[Industry])</f>
        <v>IT Services</v>
      </c>
      <c r="N131" t="str">
        <f>_xlfn.XLOOKUP(Application[[#This Row],[Company]],Table1[Company],Table1[Company_Size])</f>
        <v>Large</v>
      </c>
      <c r="O131" t="str">
        <f>TEXT(Application[[#This Row],[Applied_Date]],"mmmm")</f>
        <v>July</v>
      </c>
    </row>
    <row r="132" spans="1:15">
      <c r="A132" t="s">
        <v>216</v>
      </c>
      <c r="B132" t="s">
        <v>17</v>
      </c>
      <c r="C132" t="s">
        <v>34</v>
      </c>
      <c r="D132" t="s">
        <v>45</v>
      </c>
      <c r="E132">
        <v>630000</v>
      </c>
      <c r="F132" s="1">
        <v>46214</v>
      </c>
      <c r="G132" t="s">
        <v>6</v>
      </c>
      <c r="H132" t="s">
        <v>52</v>
      </c>
      <c r="I132" t="s">
        <v>67</v>
      </c>
      <c r="J132" t="s">
        <v>86</v>
      </c>
      <c r="K132" t="s">
        <v>80</v>
      </c>
      <c r="L132" t="s">
        <v>81</v>
      </c>
      <c r="M132" t="str">
        <f>_xlfn.XLOOKUP(Application[[#This Row],[Company]],Table1[Company],Table1[Industry])</f>
        <v>IT Services</v>
      </c>
      <c r="N132" t="str">
        <f>_xlfn.XLOOKUP(Application[[#This Row],[Company]],Table1[Company],Table1[Company_Size])</f>
        <v>Large</v>
      </c>
      <c r="O132" t="str">
        <f>TEXT(Application[[#This Row],[Applied_Date]],"mmmm")</f>
        <v>July</v>
      </c>
    </row>
    <row r="133" spans="1:15">
      <c r="A133" t="s">
        <v>217</v>
      </c>
      <c r="B133" t="s">
        <v>14</v>
      </c>
      <c r="C133" t="s">
        <v>32</v>
      </c>
      <c r="D133" t="s">
        <v>44</v>
      </c>
      <c r="E133">
        <v>590000</v>
      </c>
      <c r="F133" s="1">
        <v>46216</v>
      </c>
      <c r="G133" t="s">
        <v>2</v>
      </c>
      <c r="H133" t="s">
        <v>51</v>
      </c>
      <c r="I133" t="s">
        <v>68</v>
      </c>
      <c r="J133" t="s">
        <v>79</v>
      </c>
      <c r="K133" t="s">
        <v>84</v>
      </c>
      <c r="L133" t="s">
        <v>81</v>
      </c>
      <c r="M133" t="str">
        <f>_xlfn.XLOOKUP(Application[[#This Row],[Company]],Table1[Company],Table1[Industry])</f>
        <v>IT Services</v>
      </c>
      <c r="N133" t="str">
        <f>_xlfn.XLOOKUP(Application[[#This Row],[Company]],Table1[Company],Table1[Company_Size])</f>
        <v>Large</v>
      </c>
      <c r="O133" t="str">
        <f>TEXT(Application[[#This Row],[Applied_Date]],"mmmm")</f>
        <v>July</v>
      </c>
    </row>
    <row r="134" spans="1:15">
      <c r="A134" t="s">
        <v>218</v>
      </c>
      <c r="B134" t="s">
        <v>19</v>
      </c>
      <c r="C134" t="s">
        <v>31</v>
      </c>
      <c r="D134" t="s">
        <v>42</v>
      </c>
      <c r="E134">
        <v>610000</v>
      </c>
      <c r="F134" s="1">
        <v>46218</v>
      </c>
      <c r="G134" t="s">
        <v>5</v>
      </c>
      <c r="H134" t="s">
        <v>50</v>
      </c>
      <c r="I134" t="s">
        <v>67</v>
      </c>
      <c r="J134" t="s">
        <v>83</v>
      </c>
      <c r="K134" t="s">
        <v>87</v>
      </c>
      <c r="L134" t="s">
        <v>81</v>
      </c>
      <c r="M134" t="str">
        <f>_xlfn.XLOOKUP(Application[[#This Row],[Company]],Table1[Company],Table1[Industry])</f>
        <v>IT Services</v>
      </c>
      <c r="N134" t="str">
        <f>_xlfn.XLOOKUP(Application[[#This Row],[Company]],Table1[Company],Table1[Company_Size])</f>
        <v>Large</v>
      </c>
      <c r="O134" t="str">
        <f>TEXT(Application[[#This Row],[Applied_Date]],"mmmm")</f>
        <v>July</v>
      </c>
    </row>
    <row r="135" spans="1:15">
      <c r="A135" t="s">
        <v>219</v>
      </c>
      <c r="B135" t="s">
        <v>21</v>
      </c>
      <c r="C135" t="s">
        <v>33</v>
      </c>
      <c r="D135" t="s">
        <v>43</v>
      </c>
      <c r="E135">
        <v>760000</v>
      </c>
      <c r="F135" s="1">
        <v>46220</v>
      </c>
      <c r="G135" t="s">
        <v>3</v>
      </c>
      <c r="H135" t="s">
        <v>52</v>
      </c>
      <c r="I135" t="s">
        <v>69</v>
      </c>
      <c r="J135" t="s">
        <v>86</v>
      </c>
      <c r="K135" t="s">
        <v>80</v>
      </c>
      <c r="L135" t="s">
        <v>81</v>
      </c>
      <c r="M135" t="str">
        <f>_xlfn.XLOOKUP(Application[[#This Row],[Company]],Table1[Company],Table1[Industry])</f>
        <v>Technology</v>
      </c>
      <c r="N135" t="str">
        <f>_xlfn.XLOOKUP(Application[[#This Row],[Company]],Table1[Company],Table1[Company_Size])</f>
        <v>Large</v>
      </c>
      <c r="O135" t="str">
        <f>TEXT(Application[[#This Row],[Applied_Date]],"mmmm")</f>
        <v>July</v>
      </c>
    </row>
    <row r="136" spans="1:15">
      <c r="A136" t="s">
        <v>220</v>
      </c>
      <c r="B136" t="s">
        <v>12</v>
      </c>
      <c r="C136" t="s">
        <v>34</v>
      </c>
      <c r="D136" t="s">
        <v>44</v>
      </c>
      <c r="E136">
        <v>720000</v>
      </c>
      <c r="F136" s="1">
        <v>46222</v>
      </c>
      <c r="G136" t="s">
        <v>2</v>
      </c>
      <c r="H136" t="s">
        <v>51</v>
      </c>
      <c r="I136" t="s">
        <v>68</v>
      </c>
      <c r="J136" t="s">
        <v>79</v>
      </c>
      <c r="K136" t="s">
        <v>94</v>
      </c>
      <c r="L136" t="s">
        <v>81</v>
      </c>
      <c r="M136" t="str">
        <f>_xlfn.XLOOKUP(Application[[#This Row],[Company]],Table1[Company],Table1[Industry])</f>
        <v>Consulting</v>
      </c>
      <c r="N136" t="str">
        <f>_xlfn.XLOOKUP(Application[[#This Row],[Company]],Table1[Company],Table1[Company_Size])</f>
        <v>Large</v>
      </c>
      <c r="O136" t="str">
        <f>TEXT(Application[[#This Row],[Applied_Date]],"mmmm")</f>
        <v>July</v>
      </c>
    </row>
    <row r="137" spans="1:15">
      <c r="A137" t="s">
        <v>221</v>
      </c>
      <c r="B137" t="s">
        <v>22</v>
      </c>
      <c r="C137" t="s">
        <v>32</v>
      </c>
      <c r="D137" t="s">
        <v>45</v>
      </c>
      <c r="E137">
        <v>550000</v>
      </c>
      <c r="F137" s="1">
        <v>46224</v>
      </c>
      <c r="G137" t="s">
        <v>6</v>
      </c>
      <c r="H137" t="s">
        <v>50</v>
      </c>
      <c r="I137" t="s">
        <v>67</v>
      </c>
      <c r="J137" t="s">
        <v>83</v>
      </c>
      <c r="K137" t="s">
        <v>84</v>
      </c>
      <c r="L137" t="s">
        <v>81</v>
      </c>
      <c r="M137" t="str">
        <f>_xlfn.XLOOKUP(Application[[#This Row],[Company]],Table1[Company],Table1[Industry])</f>
        <v>IT Services</v>
      </c>
      <c r="N137" t="str">
        <f>_xlfn.XLOOKUP(Application[[#This Row],[Company]],Table1[Company],Table1[Company_Size])</f>
        <v>Large</v>
      </c>
      <c r="O137" t="str">
        <f>TEXT(Application[[#This Row],[Applied_Date]],"mmmm")</f>
        <v>July</v>
      </c>
    </row>
    <row r="138" spans="1:15">
      <c r="A138" t="s">
        <v>222</v>
      </c>
      <c r="B138" t="s">
        <v>18</v>
      </c>
      <c r="C138" t="s">
        <v>31</v>
      </c>
      <c r="D138" t="s">
        <v>42</v>
      </c>
      <c r="E138">
        <v>620000</v>
      </c>
      <c r="F138" s="1">
        <v>46226</v>
      </c>
      <c r="G138" t="s">
        <v>2</v>
      </c>
      <c r="H138" t="s">
        <v>53</v>
      </c>
      <c r="I138" t="s">
        <v>67</v>
      </c>
      <c r="J138" t="s">
        <v>79</v>
      </c>
      <c r="K138" t="s">
        <v>87</v>
      </c>
      <c r="L138" t="s">
        <v>81</v>
      </c>
      <c r="M138" t="str">
        <f>_xlfn.XLOOKUP(Application[[#This Row],[Company]],Table1[Company],Table1[Industry])</f>
        <v>Software</v>
      </c>
      <c r="N138" t="str">
        <f>_xlfn.XLOOKUP(Application[[#This Row],[Company]],Table1[Company],Table1[Company_Size])</f>
        <v>Medium</v>
      </c>
      <c r="O138" t="str">
        <f>TEXT(Application[[#This Row],[Applied_Date]],"mmmm")</f>
        <v>July</v>
      </c>
    </row>
    <row r="139" spans="1:15">
      <c r="A139" t="s">
        <v>223</v>
      </c>
      <c r="B139" t="s">
        <v>15</v>
      </c>
      <c r="C139" t="s">
        <v>33</v>
      </c>
      <c r="D139" t="s">
        <v>43</v>
      </c>
      <c r="E139">
        <v>880000</v>
      </c>
      <c r="F139" s="1">
        <v>46228</v>
      </c>
      <c r="G139" t="s">
        <v>3</v>
      </c>
      <c r="H139" t="s">
        <v>50</v>
      </c>
      <c r="I139" t="s">
        <v>69</v>
      </c>
      <c r="J139" t="s">
        <v>86</v>
      </c>
      <c r="K139" t="s">
        <v>80</v>
      </c>
      <c r="L139" t="s">
        <v>81</v>
      </c>
      <c r="M139" t="str">
        <f>_xlfn.XLOOKUP(Application[[#This Row],[Company]],Table1[Company],Table1[Industry])</f>
        <v>E-Commerce</v>
      </c>
      <c r="N139" t="str">
        <f>_xlfn.XLOOKUP(Application[[#This Row],[Company]],Table1[Company],Table1[Company_Size])</f>
        <v>Large</v>
      </c>
      <c r="O139" t="str">
        <f>TEXT(Application[[#This Row],[Applied_Date]],"mmmm")</f>
        <v>July</v>
      </c>
    </row>
    <row r="140" spans="1:15">
      <c r="A140" t="s">
        <v>224</v>
      </c>
      <c r="B140" t="s">
        <v>13</v>
      </c>
      <c r="C140" t="s">
        <v>35</v>
      </c>
      <c r="D140" t="s">
        <v>44</v>
      </c>
      <c r="E140">
        <v>780000</v>
      </c>
      <c r="F140" s="1">
        <v>46230</v>
      </c>
      <c r="G140" t="s">
        <v>5</v>
      </c>
      <c r="H140" t="s">
        <v>53</v>
      </c>
      <c r="I140" t="s">
        <v>68</v>
      </c>
      <c r="J140" t="s">
        <v>86</v>
      </c>
      <c r="K140" t="s">
        <v>94</v>
      </c>
      <c r="L140" t="s">
        <v>81</v>
      </c>
      <c r="M140" t="str">
        <f>_xlfn.XLOOKUP(Application[[#This Row],[Company]],Table1[Company],Table1[Industry])</f>
        <v>Technology</v>
      </c>
      <c r="N140" t="str">
        <f>_xlfn.XLOOKUP(Application[[#This Row],[Company]],Table1[Company],Table1[Company_Size])</f>
        <v>Large</v>
      </c>
      <c r="O140" t="str">
        <f>TEXT(Application[[#This Row],[Applied_Date]],"mmmm")</f>
        <v>July</v>
      </c>
    </row>
    <row r="141" spans="1:15">
      <c r="A141" t="s">
        <v>225</v>
      </c>
      <c r="B141" t="s">
        <v>16</v>
      </c>
      <c r="C141" t="s">
        <v>32</v>
      </c>
      <c r="D141" t="s">
        <v>42</v>
      </c>
      <c r="E141">
        <v>690000</v>
      </c>
      <c r="F141" s="1">
        <v>46232</v>
      </c>
      <c r="G141" t="s">
        <v>2</v>
      </c>
      <c r="H141" t="s">
        <v>51</v>
      </c>
      <c r="I141" t="s">
        <v>67</v>
      </c>
      <c r="J141" t="s">
        <v>83</v>
      </c>
      <c r="K141" t="s">
        <v>84</v>
      </c>
      <c r="L141" t="s">
        <v>81</v>
      </c>
      <c r="M141" t="str">
        <f>_xlfn.XLOOKUP(Application[[#This Row],[Company]],Table1[Company],Table1[Industry])</f>
        <v>Technology</v>
      </c>
      <c r="N141" t="str">
        <f>_xlfn.XLOOKUP(Application[[#This Row],[Company]],Table1[Company],Table1[Company_Size])</f>
        <v>Large</v>
      </c>
      <c r="O141" t="str">
        <f>TEXT(Application[[#This Row],[Applied_Date]],"mmmm")</f>
        <v>July</v>
      </c>
    </row>
    <row r="142" spans="1:15">
      <c r="A142" t="s">
        <v>226</v>
      </c>
      <c r="B142" t="s">
        <v>11</v>
      </c>
      <c r="C142" t="s">
        <v>31</v>
      </c>
      <c r="D142" t="s">
        <v>45</v>
      </c>
      <c r="E142">
        <v>680000</v>
      </c>
      <c r="F142" s="1">
        <v>46234</v>
      </c>
      <c r="G142" t="s">
        <v>6</v>
      </c>
      <c r="H142" t="s">
        <v>52</v>
      </c>
      <c r="I142" t="s">
        <v>69</v>
      </c>
      <c r="J142" t="s">
        <v>79</v>
      </c>
      <c r="K142" t="s">
        <v>87</v>
      </c>
      <c r="L142" t="s">
        <v>81</v>
      </c>
      <c r="M142" t="str">
        <f>_xlfn.XLOOKUP(Application[[#This Row],[Company]],Table1[Company],Table1[Industry])</f>
        <v>Fintech</v>
      </c>
      <c r="N142" t="str">
        <f>_xlfn.XLOOKUP(Application[[#This Row],[Company]],Table1[Company],Table1[Company_Size])</f>
        <v>Large</v>
      </c>
      <c r="O142" t="str">
        <f>TEXT(Application[[#This Row],[Applied_Date]],"mmmm")</f>
        <v>July</v>
      </c>
    </row>
    <row r="143" spans="1:15">
      <c r="A143" t="s">
        <v>227</v>
      </c>
      <c r="B143" t="s">
        <v>9</v>
      </c>
      <c r="C143" t="s">
        <v>34</v>
      </c>
      <c r="D143" t="s">
        <v>43</v>
      </c>
      <c r="E143">
        <v>650000</v>
      </c>
      <c r="F143" s="1">
        <v>46236</v>
      </c>
      <c r="G143" t="s">
        <v>3</v>
      </c>
      <c r="H143" t="s">
        <v>50</v>
      </c>
      <c r="I143" t="s">
        <v>67</v>
      </c>
      <c r="J143" t="s">
        <v>86</v>
      </c>
      <c r="K143" t="s">
        <v>80</v>
      </c>
      <c r="L143" t="s">
        <v>81</v>
      </c>
      <c r="M143" t="str">
        <f>_xlfn.XLOOKUP(Application[[#This Row],[Company]],Table1[Company],Table1[Industry])</f>
        <v>IT Services</v>
      </c>
      <c r="N143" t="str">
        <f>_xlfn.XLOOKUP(Application[[#This Row],[Company]],Table1[Company],Table1[Company_Size])</f>
        <v>Large</v>
      </c>
      <c r="O143" t="str">
        <f>TEXT(Application[[#This Row],[Applied_Date]],"mmmm")</f>
        <v>August</v>
      </c>
    </row>
    <row r="144" spans="1:15">
      <c r="A144" t="s">
        <v>228</v>
      </c>
      <c r="B144" t="s">
        <v>10</v>
      </c>
      <c r="C144" t="s">
        <v>33</v>
      </c>
      <c r="D144" t="s">
        <v>42</v>
      </c>
      <c r="E144">
        <v>780000</v>
      </c>
      <c r="F144" s="1">
        <v>46238</v>
      </c>
      <c r="G144" t="s">
        <v>2</v>
      </c>
      <c r="H144" t="s">
        <v>51</v>
      </c>
      <c r="I144" t="s">
        <v>69</v>
      </c>
      <c r="J144" t="s">
        <v>86</v>
      </c>
      <c r="K144" t="s">
        <v>80</v>
      </c>
      <c r="L144" t="s">
        <v>81</v>
      </c>
      <c r="M144" t="str">
        <f>_xlfn.XLOOKUP(Application[[#This Row],[Company]],Table1[Company],Table1[Industry])</f>
        <v>Consulting</v>
      </c>
      <c r="N144" t="str">
        <f>_xlfn.XLOOKUP(Application[[#This Row],[Company]],Table1[Company],Table1[Company_Size])</f>
        <v>Large</v>
      </c>
      <c r="O144" t="str">
        <f>TEXT(Application[[#This Row],[Applied_Date]],"mmmm")</f>
        <v>August</v>
      </c>
    </row>
    <row r="145" spans="1:15">
      <c r="A145" t="s">
        <v>229</v>
      </c>
      <c r="B145" t="s">
        <v>20</v>
      </c>
      <c r="C145" t="s">
        <v>32</v>
      </c>
      <c r="D145" t="s">
        <v>44</v>
      </c>
      <c r="E145">
        <v>590000</v>
      </c>
      <c r="F145" s="1">
        <v>46240</v>
      </c>
      <c r="G145" t="s">
        <v>5</v>
      </c>
      <c r="H145" t="s">
        <v>50</v>
      </c>
      <c r="I145" t="s">
        <v>68</v>
      </c>
      <c r="J145" t="s">
        <v>79</v>
      </c>
      <c r="K145" t="s">
        <v>84</v>
      </c>
      <c r="L145" t="s">
        <v>81</v>
      </c>
      <c r="M145" t="str">
        <f>_xlfn.XLOOKUP(Application[[#This Row],[Company]],Table1[Company],Table1[Industry])</f>
        <v>IT Services</v>
      </c>
      <c r="N145" t="str">
        <f>_xlfn.XLOOKUP(Application[[#This Row],[Company]],Table1[Company],Table1[Company_Size])</f>
        <v>Large</v>
      </c>
      <c r="O145" t="str">
        <f>TEXT(Application[[#This Row],[Applied_Date]],"mmmm")</f>
        <v>August</v>
      </c>
    </row>
    <row r="146" spans="1:15">
      <c r="A146" t="s">
        <v>230</v>
      </c>
      <c r="B146" t="s">
        <v>17</v>
      </c>
      <c r="C146" t="s">
        <v>31</v>
      </c>
      <c r="D146" t="s">
        <v>43</v>
      </c>
      <c r="E146">
        <v>610000</v>
      </c>
      <c r="F146" s="1">
        <v>46242</v>
      </c>
      <c r="G146" t="s">
        <v>6</v>
      </c>
      <c r="H146" t="s">
        <v>52</v>
      </c>
      <c r="I146" t="s">
        <v>67</v>
      </c>
      <c r="J146" t="s">
        <v>83</v>
      </c>
      <c r="K146" t="s">
        <v>87</v>
      </c>
      <c r="L146" t="s">
        <v>81</v>
      </c>
      <c r="M146" t="str">
        <f>_xlfn.XLOOKUP(Application[[#This Row],[Company]],Table1[Company],Table1[Industry])</f>
        <v>IT Services</v>
      </c>
      <c r="N146" t="str">
        <f>_xlfn.XLOOKUP(Application[[#This Row],[Company]],Table1[Company],Table1[Company_Size])</f>
        <v>Large</v>
      </c>
      <c r="O146" t="str">
        <f>TEXT(Application[[#This Row],[Applied_Date]],"mmmm")</f>
        <v>August</v>
      </c>
    </row>
    <row r="147" spans="1:15">
      <c r="A147" t="s">
        <v>231</v>
      </c>
      <c r="B147" t="s">
        <v>14</v>
      </c>
      <c r="C147" t="s">
        <v>33</v>
      </c>
      <c r="D147" t="s">
        <v>42</v>
      </c>
      <c r="E147">
        <v>720000</v>
      </c>
      <c r="F147" s="1">
        <v>46244</v>
      </c>
      <c r="G147" t="s">
        <v>3</v>
      </c>
      <c r="H147" t="s">
        <v>51</v>
      </c>
      <c r="I147" t="s">
        <v>69</v>
      </c>
      <c r="J147" t="s">
        <v>86</v>
      </c>
      <c r="K147" t="s">
        <v>80</v>
      </c>
      <c r="L147" t="s">
        <v>81</v>
      </c>
      <c r="M147" t="str">
        <f>_xlfn.XLOOKUP(Application[[#This Row],[Company]],Table1[Company],Table1[Industry])</f>
        <v>IT Services</v>
      </c>
      <c r="N147" t="str">
        <f>_xlfn.XLOOKUP(Application[[#This Row],[Company]],Table1[Company],Table1[Company_Size])</f>
        <v>Large</v>
      </c>
      <c r="O147" t="str">
        <f>TEXT(Application[[#This Row],[Applied_Date]],"mmmm")</f>
        <v>August</v>
      </c>
    </row>
    <row r="148" spans="1:15">
      <c r="A148" t="s">
        <v>232</v>
      </c>
      <c r="B148" t="s">
        <v>19</v>
      </c>
      <c r="C148" t="s">
        <v>32</v>
      </c>
      <c r="D148" t="s">
        <v>45</v>
      </c>
      <c r="E148">
        <v>600000</v>
      </c>
      <c r="F148" s="1">
        <v>46246</v>
      </c>
      <c r="G148" t="s">
        <v>2</v>
      </c>
      <c r="H148" t="s">
        <v>50</v>
      </c>
      <c r="I148" t="s">
        <v>67</v>
      </c>
      <c r="J148" t="s">
        <v>79</v>
      </c>
      <c r="K148" t="s">
        <v>84</v>
      </c>
      <c r="L148" t="s">
        <v>81</v>
      </c>
      <c r="M148" t="str">
        <f>_xlfn.XLOOKUP(Application[[#This Row],[Company]],Table1[Company],Table1[Industry])</f>
        <v>IT Services</v>
      </c>
      <c r="N148" t="str">
        <f>_xlfn.XLOOKUP(Application[[#This Row],[Company]],Table1[Company],Table1[Company_Size])</f>
        <v>Large</v>
      </c>
      <c r="O148" t="str">
        <f>TEXT(Application[[#This Row],[Applied_Date]],"mmmm")</f>
        <v>August</v>
      </c>
    </row>
    <row r="149" spans="1:15">
      <c r="A149" t="s">
        <v>233</v>
      </c>
      <c r="B149" t="s">
        <v>21</v>
      </c>
      <c r="C149" t="s">
        <v>31</v>
      </c>
      <c r="D149" t="s">
        <v>44</v>
      </c>
      <c r="E149">
        <v>690000</v>
      </c>
      <c r="F149" s="1">
        <v>46248</v>
      </c>
      <c r="G149" t="s">
        <v>5</v>
      </c>
      <c r="H149" t="s">
        <v>52</v>
      </c>
      <c r="I149" t="s">
        <v>68</v>
      </c>
      <c r="J149" t="s">
        <v>83</v>
      </c>
      <c r="K149" t="s">
        <v>87</v>
      </c>
      <c r="L149" t="s">
        <v>81</v>
      </c>
      <c r="M149" t="str">
        <f>_xlfn.XLOOKUP(Application[[#This Row],[Company]],Table1[Company],Table1[Industry])</f>
        <v>Technology</v>
      </c>
      <c r="N149" t="str">
        <f>_xlfn.XLOOKUP(Application[[#This Row],[Company]],Table1[Company],Table1[Company_Size])</f>
        <v>Large</v>
      </c>
      <c r="O149" t="str">
        <f>TEXT(Application[[#This Row],[Applied_Date]],"mmmm")</f>
        <v>August</v>
      </c>
    </row>
    <row r="150" spans="1:15">
      <c r="A150" t="s">
        <v>234</v>
      </c>
      <c r="B150" t="s">
        <v>12</v>
      </c>
      <c r="C150" t="s">
        <v>33</v>
      </c>
      <c r="D150" t="s">
        <v>43</v>
      </c>
      <c r="E150">
        <v>790000</v>
      </c>
      <c r="F150" s="1">
        <v>46250</v>
      </c>
      <c r="G150" t="s">
        <v>6</v>
      </c>
      <c r="H150" t="s">
        <v>50</v>
      </c>
      <c r="I150" t="s">
        <v>69</v>
      </c>
      <c r="J150" t="s">
        <v>86</v>
      </c>
      <c r="K150" t="s">
        <v>80</v>
      </c>
      <c r="L150" t="s">
        <v>81</v>
      </c>
      <c r="M150" t="str">
        <f>_xlfn.XLOOKUP(Application[[#This Row],[Company]],Table1[Company],Table1[Industry])</f>
        <v>Consulting</v>
      </c>
      <c r="N150" t="str">
        <f>_xlfn.XLOOKUP(Application[[#This Row],[Company]],Table1[Company],Table1[Company_Size])</f>
        <v>Large</v>
      </c>
      <c r="O150" t="str">
        <f>TEXT(Application[[#This Row],[Applied_Date]],"mmmm")</f>
        <v>August</v>
      </c>
    </row>
    <row r="151" spans="1:15">
      <c r="A151" t="s">
        <v>235</v>
      </c>
      <c r="B151" t="s">
        <v>22</v>
      </c>
      <c r="C151" t="s">
        <v>34</v>
      </c>
      <c r="D151" t="s">
        <v>42</v>
      </c>
      <c r="E151">
        <v>630000</v>
      </c>
      <c r="F151" s="1">
        <v>46252</v>
      </c>
      <c r="G151" t="s">
        <v>2</v>
      </c>
      <c r="H151" t="s">
        <v>51</v>
      </c>
      <c r="I151" t="s">
        <v>67</v>
      </c>
      <c r="J151" t="s">
        <v>79</v>
      </c>
      <c r="K151" t="s">
        <v>94</v>
      </c>
      <c r="L151" t="s">
        <v>81</v>
      </c>
      <c r="M151" t="str">
        <f>_xlfn.XLOOKUP(Application[[#This Row],[Company]],Table1[Company],Table1[Industry])</f>
        <v>IT Services</v>
      </c>
      <c r="N151" t="str">
        <f>_xlfn.XLOOKUP(Application[[#This Row],[Company]],Table1[Company],Table1[Company_Size])</f>
        <v>Large</v>
      </c>
      <c r="O151" t="str">
        <f>TEXT(Application[[#This Row],[Applied_Date]],"mmmm")</f>
        <v>August</v>
      </c>
    </row>
    <row r="152" spans="1:15">
      <c r="A152" t="s">
        <v>236</v>
      </c>
      <c r="B152" t="s">
        <v>18</v>
      </c>
      <c r="C152" t="s">
        <v>32</v>
      </c>
      <c r="D152" t="s">
        <v>44</v>
      </c>
      <c r="E152">
        <v>570000</v>
      </c>
      <c r="F152" s="1">
        <v>46254</v>
      </c>
      <c r="G152" t="s">
        <v>3</v>
      </c>
      <c r="H152" t="s">
        <v>53</v>
      </c>
      <c r="I152" t="s">
        <v>68</v>
      </c>
      <c r="J152" t="s">
        <v>83</v>
      </c>
      <c r="K152" t="s">
        <v>84</v>
      </c>
      <c r="L152" t="s">
        <v>81</v>
      </c>
      <c r="M152" t="str">
        <f>_xlfn.XLOOKUP(Application[[#This Row],[Company]],Table1[Company],Table1[Industry])</f>
        <v>Software</v>
      </c>
      <c r="N152" t="str">
        <f>_xlfn.XLOOKUP(Application[[#This Row],[Company]],Table1[Company],Table1[Company_Size])</f>
        <v>Medium</v>
      </c>
      <c r="O152" t="str">
        <f>TEXT(Application[[#This Row],[Applied_Date]],"mmmm")</f>
        <v>August</v>
      </c>
    </row>
    <row r="153" spans="1:15">
      <c r="A153" t="s">
        <v>237</v>
      </c>
      <c r="B153" t="s">
        <v>15</v>
      </c>
      <c r="C153" t="s">
        <v>31</v>
      </c>
      <c r="D153" t="s">
        <v>43</v>
      </c>
      <c r="E153">
        <v>770000</v>
      </c>
      <c r="F153" s="1">
        <v>46256</v>
      </c>
      <c r="G153" t="s">
        <v>2</v>
      </c>
      <c r="H153" t="s">
        <v>50</v>
      </c>
      <c r="I153" t="s">
        <v>69</v>
      </c>
      <c r="J153" t="s">
        <v>86</v>
      </c>
      <c r="K153" t="s">
        <v>87</v>
      </c>
      <c r="L153" t="s">
        <v>81</v>
      </c>
      <c r="M153" t="str">
        <f>_xlfn.XLOOKUP(Application[[#This Row],[Company]],Table1[Company],Table1[Industry])</f>
        <v>E-Commerce</v>
      </c>
      <c r="N153" t="str">
        <f>_xlfn.XLOOKUP(Application[[#This Row],[Company]],Table1[Company],Table1[Company_Size])</f>
        <v>Large</v>
      </c>
      <c r="O153" t="str">
        <f>TEXT(Application[[#This Row],[Applied_Date]],"mmmm")</f>
        <v>August</v>
      </c>
    </row>
    <row r="154" spans="1:15">
      <c r="A154" t="s">
        <v>238</v>
      </c>
      <c r="B154" t="s">
        <v>13</v>
      </c>
      <c r="C154" t="s">
        <v>34</v>
      </c>
      <c r="D154" t="s">
        <v>42</v>
      </c>
      <c r="E154">
        <v>840000</v>
      </c>
      <c r="F154" s="1">
        <v>46258</v>
      </c>
      <c r="G154" t="s">
        <v>6</v>
      </c>
      <c r="H154" t="s">
        <v>53</v>
      </c>
      <c r="I154" t="s">
        <v>67</v>
      </c>
      <c r="J154" t="s">
        <v>86</v>
      </c>
      <c r="K154" t="s">
        <v>80</v>
      </c>
      <c r="L154" t="s">
        <v>81</v>
      </c>
      <c r="M154" t="str">
        <f>_xlfn.XLOOKUP(Application[[#This Row],[Company]],Table1[Company],Table1[Industry])</f>
        <v>Technology</v>
      </c>
      <c r="N154" t="str">
        <f>_xlfn.XLOOKUP(Application[[#This Row],[Company]],Table1[Company],Table1[Company_Size])</f>
        <v>Large</v>
      </c>
      <c r="O154" t="str">
        <f>TEXT(Application[[#This Row],[Applied_Date]],"mmmm")</f>
        <v>August</v>
      </c>
    </row>
    <row r="155" spans="1:15">
      <c r="A155" t="s">
        <v>239</v>
      </c>
      <c r="B155" t="s">
        <v>16</v>
      </c>
      <c r="C155" t="s">
        <v>33</v>
      </c>
      <c r="D155" t="s">
        <v>45</v>
      </c>
      <c r="E155">
        <v>810000</v>
      </c>
      <c r="F155" s="1">
        <v>46260</v>
      </c>
      <c r="G155" t="s">
        <v>3</v>
      </c>
      <c r="H155" t="s">
        <v>51</v>
      </c>
      <c r="I155" t="s">
        <v>69</v>
      </c>
      <c r="J155" t="s">
        <v>86</v>
      </c>
      <c r="K155" t="s">
        <v>80</v>
      </c>
      <c r="L155" t="s">
        <v>81</v>
      </c>
      <c r="M155" t="str">
        <f>_xlfn.XLOOKUP(Application[[#This Row],[Company]],Table1[Company],Table1[Industry])</f>
        <v>Technology</v>
      </c>
      <c r="N155" t="str">
        <f>_xlfn.XLOOKUP(Application[[#This Row],[Company]],Table1[Company],Table1[Company_Size])</f>
        <v>Large</v>
      </c>
      <c r="O155" t="str">
        <f>TEXT(Application[[#This Row],[Applied_Date]],"mmmm")</f>
        <v>August</v>
      </c>
    </row>
    <row r="156" spans="1:15">
      <c r="A156" t="s">
        <v>240</v>
      </c>
      <c r="B156" t="s">
        <v>11</v>
      </c>
      <c r="C156" t="s">
        <v>32</v>
      </c>
      <c r="D156" t="s">
        <v>44</v>
      </c>
      <c r="E156">
        <v>640000</v>
      </c>
      <c r="F156" s="1">
        <v>46262</v>
      </c>
      <c r="G156" t="s">
        <v>2</v>
      </c>
      <c r="H156" t="s">
        <v>52</v>
      </c>
      <c r="I156" t="s">
        <v>68</v>
      </c>
      <c r="J156" t="s">
        <v>79</v>
      </c>
      <c r="K156" t="s">
        <v>84</v>
      </c>
      <c r="L156" t="s">
        <v>81</v>
      </c>
      <c r="M156" t="str">
        <f>_xlfn.XLOOKUP(Application[[#This Row],[Company]],Table1[Company],Table1[Industry])</f>
        <v>Fintech</v>
      </c>
      <c r="N156" t="str">
        <f>_xlfn.XLOOKUP(Application[[#This Row],[Company]],Table1[Company],Table1[Company_Size])</f>
        <v>Large</v>
      </c>
      <c r="O156" t="str">
        <f>TEXT(Application[[#This Row],[Applied_Date]],"mmmm")</f>
        <v>August</v>
      </c>
    </row>
    <row r="157" spans="1:15">
      <c r="A157" t="s">
        <v>241</v>
      </c>
      <c r="B157" t="s">
        <v>9</v>
      </c>
      <c r="C157" t="s">
        <v>31</v>
      </c>
      <c r="D157" t="s">
        <v>43</v>
      </c>
      <c r="E157">
        <v>610000</v>
      </c>
      <c r="F157" s="1">
        <v>46264</v>
      </c>
      <c r="G157" t="s">
        <v>5</v>
      </c>
      <c r="H157" t="s">
        <v>50</v>
      </c>
      <c r="I157" t="s">
        <v>67</v>
      </c>
      <c r="J157" t="s">
        <v>83</v>
      </c>
      <c r="K157" t="s">
        <v>87</v>
      </c>
      <c r="L157" t="s">
        <v>81</v>
      </c>
      <c r="M157" t="str">
        <f>_xlfn.XLOOKUP(Application[[#This Row],[Company]],Table1[Company],Table1[Industry])</f>
        <v>IT Services</v>
      </c>
      <c r="N157" t="str">
        <f>_xlfn.XLOOKUP(Application[[#This Row],[Company]],Table1[Company],Table1[Company_Size])</f>
        <v>Large</v>
      </c>
      <c r="O157" t="str">
        <f>TEXT(Application[[#This Row],[Applied_Date]],"mmmm")</f>
        <v>August</v>
      </c>
    </row>
    <row r="158" spans="1:15">
      <c r="A158" t="s">
        <v>242</v>
      </c>
      <c r="B158" t="s">
        <v>10</v>
      </c>
      <c r="C158" t="s">
        <v>34</v>
      </c>
      <c r="D158" t="s">
        <v>42</v>
      </c>
      <c r="E158">
        <v>710000</v>
      </c>
      <c r="F158" s="1">
        <v>46266</v>
      </c>
      <c r="G158" t="s">
        <v>6</v>
      </c>
      <c r="H158" t="s">
        <v>51</v>
      </c>
      <c r="I158" t="s">
        <v>67</v>
      </c>
      <c r="J158" t="s">
        <v>86</v>
      </c>
      <c r="K158" t="s">
        <v>94</v>
      </c>
      <c r="L158" t="s">
        <v>81</v>
      </c>
      <c r="M158" t="str">
        <f>_xlfn.XLOOKUP(Application[[#This Row],[Company]],Table1[Company],Table1[Industry])</f>
        <v>Consulting</v>
      </c>
      <c r="N158" t="str">
        <f>_xlfn.XLOOKUP(Application[[#This Row],[Company]],Table1[Company],Table1[Company_Size])</f>
        <v>Large</v>
      </c>
      <c r="O158" t="str">
        <f>TEXT(Application[[#This Row],[Applied_Date]],"mmmm")</f>
        <v>September</v>
      </c>
    </row>
    <row r="159" spans="1:15">
      <c r="A159" t="s">
        <v>243</v>
      </c>
      <c r="B159" t="s">
        <v>20</v>
      </c>
      <c r="C159" t="s">
        <v>33</v>
      </c>
      <c r="D159" t="s">
        <v>44</v>
      </c>
      <c r="E159">
        <v>650000</v>
      </c>
      <c r="F159" s="1">
        <v>46267</v>
      </c>
      <c r="G159" t="s">
        <v>2</v>
      </c>
      <c r="H159" t="s">
        <v>50</v>
      </c>
      <c r="I159" t="s">
        <v>68</v>
      </c>
      <c r="J159" t="s">
        <v>79</v>
      </c>
      <c r="K159" t="s">
        <v>80</v>
      </c>
      <c r="L159" t="s">
        <v>81</v>
      </c>
      <c r="M159" t="str">
        <f>_xlfn.XLOOKUP(Application[[#This Row],[Company]],Table1[Company],Table1[Industry])</f>
        <v>IT Services</v>
      </c>
      <c r="N159" t="str">
        <f>_xlfn.XLOOKUP(Application[[#This Row],[Company]],Table1[Company],Table1[Company_Size])</f>
        <v>Large</v>
      </c>
      <c r="O159" t="str">
        <f>TEXT(Application[[#This Row],[Applied_Date]],"mmmm")</f>
        <v>September</v>
      </c>
    </row>
    <row r="160" spans="1:15">
      <c r="A160" t="s">
        <v>244</v>
      </c>
      <c r="B160" t="s">
        <v>17</v>
      </c>
      <c r="C160" t="s">
        <v>32</v>
      </c>
      <c r="D160" t="s">
        <v>43</v>
      </c>
      <c r="E160">
        <v>580000</v>
      </c>
      <c r="F160" s="1">
        <v>46268</v>
      </c>
      <c r="G160" t="s">
        <v>3</v>
      </c>
      <c r="H160" t="s">
        <v>52</v>
      </c>
      <c r="I160" t="s">
        <v>69</v>
      </c>
      <c r="J160" t="s">
        <v>83</v>
      </c>
      <c r="K160" t="s">
        <v>84</v>
      </c>
      <c r="L160" t="s">
        <v>81</v>
      </c>
      <c r="M160" t="str">
        <f>_xlfn.XLOOKUP(Application[[#This Row],[Company]],Table1[Company],Table1[Industry])</f>
        <v>IT Services</v>
      </c>
      <c r="N160" t="str">
        <f>_xlfn.XLOOKUP(Application[[#This Row],[Company]],Table1[Company],Table1[Company_Size])</f>
        <v>Large</v>
      </c>
      <c r="O160" t="str">
        <f>TEXT(Application[[#This Row],[Applied_Date]],"mmmm")</f>
        <v>September</v>
      </c>
    </row>
    <row r="161" spans="1:15">
      <c r="A161" t="s">
        <v>245</v>
      </c>
      <c r="B161" t="s">
        <v>14</v>
      </c>
      <c r="C161" t="s">
        <v>31</v>
      </c>
      <c r="D161" t="s">
        <v>42</v>
      </c>
      <c r="E161">
        <v>670000</v>
      </c>
      <c r="F161" s="1">
        <v>46269</v>
      </c>
      <c r="G161" t="s">
        <v>2</v>
      </c>
      <c r="H161" t="s">
        <v>51</v>
      </c>
      <c r="I161" t="s">
        <v>67</v>
      </c>
      <c r="J161" t="s">
        <v>86</v>
      </c>
      <c r="K161" t="s">
        <v>87</v>
      </c>
      <c r="L161" t="s">
        <v>81</v>
      </c>
      <c r="M161" t="str">
        <f>_xlfn.XLOOKUP(Application[[#This Row],[Company]],Table1[Company],Table1[Industry])</f>
        <v>IT Services</v>
      </c>
      <c r="N161" t="str">
        <f>_xlfn.XLOOKUP(Application[[#This Row],[Company]],Table1[Company],Table1[Company_Size])</f>
        <v>Large</v>
      </c>
      <c r="O161" t="str">
        <f>TEXT(Application[[#This Row],[Applied_Date]],"mmmm")</f>
        <v>September</v>
      </c>
    </row>
    <row r="162" spans="1:15">
      <c r="A162" t="s">
        <v>246</v>
      </c>
      <c r="B162" t="s">
        <v>19</v>
      </c>
      <c r="C162" t="s">
        <v>34</v>
      </c>
      <c r="D162" t="s">
        <v>45</v>
      </c>
      <c r="E162">
        <v>620000</v>
      </c>
      <c r="F162" s="1">
        <v>46270</v>
      </c>
      <c r="G162" t="s">
        <v>5</v>
      </c>
      <c r="H162" t="s">
        <v>50</v>
      </c>
      <c r="I162" t="s">
        <v>68</v>
      </c>
      <c r="J162" t="s">
        <v>79</v>
      </c>
      <c r="K162" t="s">
        <v>80</v>
      </c>
      <c r="L162" t="s">
        <v>81</v>
      </c>
      <c r="M162" t="str">
        <f>_xlfn.XLOOKUP(Application[[#This Row],[Company]],Table1[Company],Table1[Industry])</f>
        <v>IT Services</v>
      </c>
      <c r="N162" t="str">
        <f>_xlfn.XLOOKUP(Application[[#This Row],[Company]],Table1[Company],Table1[Company_Size])</f>
        <v>Large</v>
      </c>
      <c r="O162" t="str">
        <f>TEXT(Application[[#This Row],[Applied_Date]],"mmmm")</f>
        <v>September</v>
      </c>
    </row>
    <row r="163" spans="1:15">
      <c r="A163" t="s">
        <v>247</v>
      </c>
      <c r="B163" t="s">
        <v>21</v>
      </c>
      <c r="C163" t="s">
        <v>32</v>
      </c>
      <c r="D163" t="s">
        <v>44</v>
      </c>
      <c r="E163">
        <v>610000</v>
      </c>
      <c r="F163" s="1">
        <v>46271</v>
      </c>
      <c r="G163" t="s">
        <v>6</v>
      </c>
      <c r="H163" t="s">
        <v>52</v>
      </c>
      <c r="I163" t="s">
        <v>67</v>
      </c>
      <c r="J163" t="s">
        <v>83</v>
      </c>
      <c r="K163" t="s">
        <v>84</v>
      </c>
      <c r="L163" t="s">
        <v>81</v>
      </c>
      <c r="M163" t="str">
        <f>_xlfn.XLOOKUP(Application[[#This Row],[Company]],Table1[Company],Table1[Industry])</f>
        <v>Technology</v>
      </c>
      <c r="N163" t="str">
        <f>_xlfn.XLOOKUP(Application[[#This Row],[Company]],Table1[Company],Table1[Company_Size])</f>
        <v>Large</v>
      </c>
      <c r="O163" t="str">
        <f>TEXT(Application[[#This Row],[Applied_Date]],"mmmm")</f>
        <v>September</v>
      </c>
    </row>
    <row r="164" spans="1:15">
      <c r="A164" t="s">
        <v>248</v>
      </c>
      <c r="B164" t="s">
        <v>12</v>
      </c>
      <c r="C164" t="s">
        <v>31</v>
      </c>
      <c r="D164" t="s">
        <v>43</v>
      </c>
      <c r="E164">
        <v>750000</v>
      </c>
      <c r="F164" s="1">
        <v>46272</v>
      </c>
      <c r="G164" t="s">
        <v>3</v>
      </c>
      <c r="H164" t="s">
        <v>51</v>
      </c>
      <c r="I164" t="s">
        <v>69</v>
      </c>
      <c r="J164" t="s">
        <v>86</v>
      </c>
      <c r="K164" t="s">
        <v>94</v>
      </c>
      <c r="L164" t="s">
        <v>81</v>
      </c>
      <c r="M164" t="str">
        <f>_xlfn.XLOOKUP(Application[[#This Row],[Company]],Table1[Company],Table1[Industry])</f>
        <v>Consulting</v>
      </c>
      <c r="N164" t="str">
        <f>_xlfn.XLOOKUP(Application[[#This Row],[Company]],Table1[Company],Table1[Company_Size])</f>
        <v>Large</v>
      </c>
      <c r="O164" t="str">
        <f>TEXT(Application[[#This Row],[Applied_Date]],"mmmm")</f>
        <v>September</v>
      </c>
    </row>
    <row r="165" spans="1:15">
      <c r="A165" t="s">
        <v>249</v>
      </c>
      <c r="B165" t="s">
        <v>22</v>
      </c>
      <c r="C165" t="s">
        <v>33</v>
      </c>
      <c r="D165" t="s">
        <v>42</v>
      </c>
      <c r="E165">
        <v>690000</v>
      </c>
      <c r="F165" s="1">
        <v>46273</v>
      </c>
      <c r="G165" t="s">
        <v>2</v>
      </c>
      <c r="H165" t="s">
        <v>50</v>
      </c>
      <c r="I165" t="s">
        <v>67</v>
      </c>
      <c r="J165" t="s">
        <v>79</v>
      </c>
      <c r="K165" t="s">
        <v>80</v>
      </c>
      <c r="L165" t="s">
        <v>81</v>
      </c>
      <c r="M165" t="str">
        <f>_xlfn.XLOOKUP(Application[[#This Row],[Company]],Table1[Company],Table1[Industry])</f>
        <v>IT Services</v>
      </c>
      <c r="N165" t="str">
        <f>_xlfn.XLOOKUP(Application[[#This Row],[Company]],Table1[Company],Table1[Company_Size])</f>
        <v>Large</v>
      </c>
      <c r="O165" t="str">
        <f>TEXT(Application[[#This Row],[Applied_Date]],"mmmm")</f>
        <v>September</v>
      </c>
    </row>
    <row r="166" spans="1:15">
      <c r="A166" t="s">
        <v>250</v>
      </c>
      <c r="B166" t="s">
        <v>18</v>
      </c>
      <c r="C166" t="s">
        <v>34</v>
      </c>
      <c r="D166" t="s">
        <v>44</v>
      </c>
      <c r="E166">
        <v>620000</v>
      </c>
      <c r="F166" s="1">
        <v>46274</v>
      </c>
      <c r="G166" t="s">
        <v>5</v>
      </c>
      <c r="H166" t="s">
        <v>53</v>
      </c>
      <c r="I166" t="s">
        <v>68</v>
      </c>
      <c r="J166" t="s">
        <v>83</v>
      </c>
      <c r="K166" t="s">
        <v>80</v>
      </c>
      <c r="L166" t="s">
        <v>81</v>
      </c>
      <c r="M166" t="str">
        <f>_xlfn.XLOOKUP(Application[[#This Row],[Company]],Table1[Company],Table1[Industry])</f>
        <v>Software</v>
      </c>
      <c r="N166" t="str">
        <f>_xlfn.XLOOKUP(Application[[#This Row],[Company]],Table1[Company],Table1[Company_Size])</f>
        <v>Medium</v>
      </c>
      <c r="O166" t="str">
        <f>TEXT(Application[[#This Row],[Applied_Date]],"mmmm")</f>
        <v>September</v>
      </c>
    </row>
    <row r="167" spans="1:15">
      <c r="A167" t="s">
        <v>251</v>
      </c>
      <c r="B167" t="s">
        <v>15</v>
      </c>
      <c r="C167" t="s">
        <v>32</v>
      </c>
      <c r="D167" t="s">
        <v>43</v>
      </c>
      <c r="E167">
        <v>730000</v>
      </c>
      <c r="F167" s="1">
        <v>46275</v>
      </c>
      <c r="G167" t="s">
        <v>6</v>
      </c>
      <c r="H167" t="s">
        <v>50</v>
      </c>
      <c r="I167" t="s">
        <v>69</v>
      </c>
      <c r="J167" t="s">
        <v>86</v>
      </c>
      <c r="K167" t="s">
        <v>84</v>
      </c>
      <c r="L167" t="s">
        <v>81</v>
      </c>
      <c r="M167" t="str">
        <f>_xlfn.XLOOKUP(Application[[#This Row],[Company]],Table1[Company],Table1[Industry])</f>
        <v>E-Commerce</v>
      </c>
      <c r="N167" t="str">
        <f>_xlfn.XLOOKUP(Application[[#This Row],[Company]],Table1[Company],Table1[Company_Size])</f>
        <v>Large</v>
      </c>
      <c r="O167" t="str">
        <f>TEXT(Application[[#This Row],[Applied_Date]],"mmmm")</f>
        <v>September</v>
      </c>
    </row>
    <row r="168" spans="1:15">
      <c r="A168" t="s">
        <v>252</v>
      </c>
      <c r="B168" t="s">
        <v>13</v>
      </c>
      <c r="C168" t="s">
        <v>31</v>
      </c>
      <c r="D168" t="s">
        <v>42</v>
      </c>
      <c r="E168">
        <v>820000</v>
      </c>
      <c r="F168" s="1">
        <v>46276</v>
      </c>
      <c r="G168" t="s">
        <v>3</v>
      </c>
      <c r="H168" t="s">
        <v>53</v>
      </c>
      <c r="I168" t="s">
        <v>67</v>
      </c>
      <c r="J168" t="s">
        <v>79</v>
      </c>
      <c r="K168" t="s">
        <v>87</v>
      </c>
      <c r="L168" t="s">
        <v>81</v>
      </c>
      <c r="M168" t="str">
        <f>_xlfn.XLOOKUP(Application[[#This Row],[Company]],Table1[Company],Table1[Industry])</f>
        <v>Technology</v>
      </c>
      <c r="N168" t="str">
        <f>_xlfn.XLOOKUP(Application[[#This Row],[Company]],Table1[Company],Table1[Company_Size])</f>
        <v>Large</v>
      </c>
      <c r="O168" t="str">
        <f>TEXT(Application[[#This Row],[Applied_Date]],"mmmm")</f>
        <v>September</v>
      </c>
    </row>
    <row r="169" spans="1:15">
      <c r="A169" t="s">
        <v>253</v>
      </c>
      <c r="B169" t="s">
        <v>16</v>
      </c>
      <c r="C169" t="s">
        <v>35</v>
      </c>
      <c r="D169" t="s">
        <v>45</v>
      </c>
      <c r="E169">
        <v>760000</v>
      </c>
      <c r="F169" s="1">
        <v>46277</v>
      </c>
      <c r="G169" t="s">
        <v>2</v>
      </c>
      <c r="H169" t="s">
        <v>51</v>
      </c>
      <c r="I169" t="s">
        <v>67</v>
      </c>
      <c r="J169" t="s">
        <v>86</v>
      </c>
      <c r="K169" t="s">
        <v>94</v>
      </c>
      <c r="L169" t="s">
        <v>81</v>
      </c>
      <c r="M169" t="str">
        <f>_xlfn.XLOOKUP(Application[[#This Row],[Company]],Table1[Company],Table1[Industry])</f>
        <v>Technology</v>
      </c>
      <c r="N169" t="str">
        <f>_xlfn.XLOOKUP(Application[[#This Row],[Company]],Table1[Company],Table1[Company_Size])</f>
        <v>Large</v>
      </c>
      <c r="O169" t="str">
        <f>TEXT(Application[[#This Row],[Applied_Date]],"mmmm")</f>
        <v>September</v>
      </c>
    </row>
    <row r="170" spans="1:15">
      <c r="A170" t="s">
        <v>254</v>
      </c>
      <c r="B170" t="s">
        <v>11</v>
      </c>
      <c r="C170" t="s">
        <v>33</v>
      </c>
      <c r="D170" t="s">
        <v>43</v>
      </c>
      <c r="E170">
        <v>770000</v>
      </c>
      <c r="F170" s="1">
        <v>46278</v>
      </c>
      <c r="G170" t="s">
        <v>6</v>
      </c>
      <c r="H170" t="s">
        <v>52</v>
      </c>
      <c r="I170" t="s">
        <v>69</v>
      </c>
      <c r="J170" t="s">
        <v>86</v>
      </c>
      <c r="K170" t="s">
        <v>80</v>
      </c>
      <c r="L170" t="s">
        <v>81</v>
      </c>
      <c r="M170" t="str">
        <f>_xlfn.XLOOKUP(Application[[#This Row],[Company]],Table1[Company],Table1[Industry])</f>
        <v>Fintech</v>
      </c>
      <c r="N170" t="str">
        <f>_xlfn.XLOOKUP(Application[[#This Row],[Company]],Table1[Company],Table1[Company_Size])</f>
        <v>Large</v>
      </c>
      <c r="O170" t="str">
        <f>TEXT(Application[[#This Row],[Applied_Date]],"mmmm")</f>
        <v>September</v>
      </c>
    </row>
    <row r="171" spans="1:15">
      <c r="A171" t="s">
        <v>255</v>
      </c>
      <c r="B171" t="s">
        <v>9</v>
      </c>
      <c r="C171" t="s">
        <v>32</v>
      </c>
      <c r="D171" t="s">
        <v>44</v>
      </c>
      <c r="E171">
        <v>550000</v>
      </c>
      <c r="F171" s="1">
        <v>46279</v>
      </c>
      <c r="G171" t="s">
        <v>5</v>
      </c>
      <c r="H171" t="s">
        <v>50</v>
      </c>
      <c r="I171" t="s">
        <v>68</v>
      </c>
      <c r="J171" t="s">
        <v>79</v>
      </c>
      <c r="K171" t="s">
        <v>84</v>
      </c>
      <c r="L171" t="s">
        <v>81</v>
      </c>
      <c r="M171" t="str">
        <f>_xlfn.XLOOKUP(Application[[#This Row],[Company]],Table1[Company],Table1[Industry])</f>
        <v>IT Services</v>
      </c>
      <c r="N171" t="str">
        <f>_xlfn.XLOOKUP(Application[[#This Row],[Company]],Table1[Company],Table1[Company_Size])</f>
        <v>Large</v>
      </c>
      <c r="O171" t="str">
        <f>TEXT(Application[[#This Row],[Applied_Date]],"mmmm")</f>
        <v>September</v>
      </c>
    </row>
    <row r="172" spans="1:15">
      <c r="A172" t="s">
        <v>256</v>
      </c>
      <c r="B172" t="s">
        <v>10</v>
      </c>
      <c r="C172" t="s">
        <v>31</v>
      </c>
      <c r="D172" t="s">
        <v>42</v>
      </c>
      <c r="E172">
        <v>680000</v>
      </c>
      <c r="F172" s="1">
        <v>46280</v>
      </c>
      <c r="G172" t="s">
        <v>2</v>
      </c>
      <c r="H172" t="s">
        <v>51</v>
      </c>
      <c r="I172" t="s">
        <v>67</v>
      </c>
      <c r="J172" t="s">
        <v>83</v>
      </c>
      <c r="K172" t="s">
        <v>87</v>
      </c>
      <c r="L172" t="s">
        <v>81</v>
      </c>
      <c r="M172" t="str">
        <f>_xlfn.XLOOKUP(Application[[#This Row],[Company]],Table1[Company],Table1[Industry])</f>
        <v>Consulting</v>
      </c>
      <c r="N172" t="str">
        <f>_xlfn.XLOOKUP(Application[[#This Row],[Company]],Table1[Company],Table1[Company_Size])</f>
        <v>Large</v>
      </c>
      <c r="O172" t="str">
        <f>TEXT(Application[[#This Row],[Applied_Date]],"mmmm")</f>
        <v>September</v>
      </c>
    </row>
    <row r="173" spans="1:15">
      <c r="A173" t="s">
        <v>257</v>
      </c>
      <c r="B173" t="s">
        <v>20</v>
      </c>
      <c r="C173" t="s">
        <v>34</v>
      </c>
      <c r="D173" t="s">
        <v>43</v>
      </c>
      <c r="E173">
        <v>600000</v>
      </c>
      <c r="F173" s="1">
        <v>46281</v>
      </c>
      <c r="G173" t="s">
        <v>3</v>
      </c>
      <c r="H173" t="s">
        <v>50</v>
      </c>
      <c r="I173" t="s">
        <v>69</v>
      </c>
      <c r="J173" t="s">
        <v>86</v>
      </c>
      <c r="K173" t="s">
        <v>80</v>
      </c>
      <c r="L173" t="s">
        <v>81</v>
      </c>
      <c r="M173" t="str">
        <f>_xlfn.XLOOKUP(Application[[#This Row],[Company]],Table1[Company],Table1[Industry])</f>
        <v>IT Services</v>
      </c>
      <c r="N173" t="str">
        <f>_xlfn.XLOOKUP(Application[[#This Row],[Company]],Table1[Company],Table1[Company_Size])</f>
        <v>Large</v>
      </c>
      <c r="O173" t="str">
        <f>TEXT(Application[[#This Row],[Applied_Date]],"mmmm")</f>
        <v>September</v>
      </c>
    </row>
    <row r="174" spans="1:15">
      <c r="A174" t="s">
        <v>258</v>
      </c>
      <c r="B174" t="s">
        <v>17</v>
      </c>
      <c r="C174" t="s">
        <v>33</v>
      </c>
      <c r="D174" t="s">
        <v>44</v>
      </c>
      <c r="E174">
        <v>660000</v>
      </c>
      <c r="F174" s="1">
        <v>46282</v>
      </c>
      <c r="G174" t="s">
        <v>6</v>
      </c>
      <c r="H174" t="s">
        <v>52</v>
      </c>
      <c r="I174" t="s">
        <v>68</v>
      </c>
      <c r="J174" t="s">
        <v>79</v>
      </c>
      <c r="K174" t="s">
        <v>80</v>
      </c>
      <c r="L174" t="s">
        <v>81</v>
      </c>
      <c r="M174" t="str">
        <f>_xlfn.XLOOKUP(Application[[#This Row],[Company]],Table1[Company],Table1[Industry])</f>
        <v>IT Services</v>
      </c>
      <c r="N174" t="str">
        <f>_xlfn.XLOOKUP(Application[[#This Row],[Company]],Table1[Company],Table1[Company_Size])</f>
        <v>Large</v>
      </c>
      <c r="O174" t="str">
        <f>TEXT(Application[[#This Row],[Applied_Date]],"mmmm")</f>
        <v>September</v>
      </c>
    </row>
    <row r="175" spans="1:15">
      <c r="A175" t="s">
        <v>259</v>
      </c>
      <c r="B175" t="s">
        <v>14</v>
      </c>
      <c r="C175" t="s">
        <v>32</v>
      </c>
      <c r="D175" t="s">
        <v>42</v>
      </c>
      <c r="E175">
        <v>630000</v>
      </c>
      <c r="F175" s="1">
        <v>46283</v>
      </c>
      <c r="G175" t="s">
        <v>2</v>
      </c>
      <c r="H175" t="s">
        <v>51</v>
      </c>
      <c r="I175" t="s">
        <v>67</v>
      </c>
      <c r="J175" t="s">
        <v>83</v>
      </c>
      <c r="K175" t="s">
        <v>84</v>
      </c>
      <c r="L175" t="s">
        <v>81</v>
      </c>
      <c r="M175" t="str">
        <f>_xlfn.XLOOKUP(Application[[#This Row],[Company]],Table1[Company],Table1[Industry])</f>
        <v>IT Services</v>
      </c>
      <c r="N175" t="str">
        <f>_xlfn.XLOOKUP(Application[[#This Row],[Company]],Table1[Company],Table1[Company_Size])</f>
        <v>Large</v>
      </c>
      <c r="O175" t="str">
        <f>TEXT(Application[[#This Row],[Applied_Date]],"mmmm")</f>
        <v>September</v>
      </c>
    </row>
    <row r="176" spans="1:15">
      <c r="A176" t="s">
        <v>260</v>
      </c>
      <c r="B176" t="s">
        <v>19</v>
      </c>
      <c r="C176" t="s">
        <v>31</v>
      </c>
      <c r="D176" t="s">
        <v>45</v>
      </c>
      <c r="E176">
        <v>600000</v>
      </c>
      <c r="F176" s="1">
        <v>46284</v>
      </c>
      <c r="G176" t="s">
        <v>5</v>
      </c>
      <c r="H176" t="s">
        <v>50</v>
      </c>
      <c r="I176" t="s">
        <v>68</v>
      </c>
      <c r="J176" t="s">
        <v>79</v>
      </c>
      <c r="K176" t="s">
        <v>87</v>
      </c>
      <c r="L176" t="s">
        <v>81</v>
      </c>
      <c r="M176" t="str">
        <f>_xlfn.XLOOKUP(Application[[#This Row],[Company]],Table1[Company],Table1[Industry])</f>
        <v>IT Services</v>
      </c>
      <c r="N176" t="str">
        <f>_xlfn.XLOOKUP(Application[[#This Row],[Company]],Table1[Company],Table1[Company_Size])</f>
        <v>Large</v>
      </c>
      <c r="O176" t="str">
        <f>TEXT(Application[[#This Row],[Applied_Date]],"mmmm")</f>
        <v>September</v>
      </c>
    </row>
    <row r="177" spans="1:15">
      <c r="A177" t="s">
        <v>261</v>
      </c>
      <c r="B177" t="s">
        <v>21</v>
      </c>
      <c r="C177" t="s">
        <v>34</v>
      </c>
      <c r="D177" t="s">
        <v>43</v>
      </c>
      <c r="E177">
        <v>690000</v>
      </c>
      <c r="F177" s="1">
        <v>46285</v>
      </c>
      <c r="G177" t="s">
        <v>3</v>
      </c>
      <c r="H177" t="s">
        <v>52</v>
      </c>
      <c r="I177" t="s">
        <v>69</v>
      </c>
      <c r="J177" t="s">
        <v>86</v>
      </c>
      <c r="K177" t="s">
        <v>94</v>
      </c>
      <c r="L177" t="s">
        <v>81</v>
      </c>
      <c r="M177" t="str">
        <f>_xlfn.XLOOKUP(Application[[#This Row],[Company]],Table1[Company],Table1[Industry])</f>
        <v>Technology</v>
      </c>
      <c r="N177" t="str">
        <f>_xlfn.XLOOKUP(Application[[#This Row],[Company]],Table1[Company],Table1[Company_Size])</f>
        <v>Large</v>
      </c>
      <c r="O177" t="str">
        <f>TEXT(Application[[#This Row],[Applied_Date]],"mmmm")</f>
        <v>September</v>
      </c>
    </row>
    <row r="178" spans="1:15">
      <c r="A178" t="s">
        <v>262</v>
      </c>
      <c r="B178" t="s">
        <v>12</v>
      </c>
      <c r="C178" t="s">
        <v>32</v>
      </c>
      <c r="D178" t="s">
        <v>44</v>
      </c>
      <c r="E178">
        <v>720000</v>
      </c>
      <c r="F178" s="1">
        <v>46286</v>
      </c>
      <c r="G178" t="s">
        <v>2</v>
      </c>
      <c r="H178" t="s">
        <v>51</v>
      </c>
      <c r="I178" t="s">
        <v>67</v>
      </c>
      <c r="J178" t="s">
        <v>83</v>
      </c>
      <c r="K178" t="s">
        <v>84</v>
      </c>
      <c r="L178" t="s">
        <v>81</v>
      </c>
      <c r="M178" t="str">
        <f>_xlfn.XLOOKUP(Application[[#This Row],[Company]],Table1[Company],Table1[Industry])</f>
        <v>Consulting</v>
      </c>
      <c r="N178" t="str">
        <f>_xlfn.XLOOKUP(Application[[#This Row],[Company]],Table1[Company],Table1[Company_Size])</f>
        <v>Large</v>
      </c>
      <c r="O178" t="str">
        <f>TEXT(Application[[#This Row],[Applied_Date]],"mmmm")</f>
        <v>September</v>
      </c>
    </row>
    <row r="179" spans="1:15">
      <c r="A179" t="s">
        <v>263</v>
      </c>
      <c r="B179" t="s">
        <v>22</v>
      </c>
      <c r="C179" t="s">
        <v>31</v>
      </c>
      <c r="D179" t="s">
        <v>42</v>
      </c>
      <c r="E179">
        <v>590000</v>
      </c>
      <c r="F179" s="1">
        <v>46287</v>
      </c>
      <c r="G179" t="s">
        <v>6</v>
      </c>
      <c r="H179" t="s">
        <v>50</v>
      </c>
      <c r="I179" t="s">
        <v>67</v>
      </c>
      <c r="J179" t="s">
        <v>79</v>
      </c>
      <c r="K179" t="s">
        <v>87</v>
      </c>
      <c r="L179" t="s">
        <v>81</v>
      </c>
      <c r="M179" t="str">
        <f>_xlfn.XLOOKUP(Application[[#This Row],[Company]],Table1[Company],Table1[Industry])</f>
        <v>IT Services</v>
      </c>
      <c r="N179" t="str">
        <f>_xlfn.XLOOKUP(Application[[#This Row],[Company]],Table1[Company],Table1[Company_Size])</f>
        <v>Large</v>
      </c>
      <c r="O179" t="str">
        <f>TEXT(Application[[#This Row],[Applied_Date]],"mmmm")</f>
        <v>September</v>
      </c>
    </row>
    <row r="180" spans="1:15">
      <c r="A180" t="s">
        <v>264</v>
      </c>
      <c r="B180" t="s">
        <v>18</v>
      </c>
      <c r="C180" t="s">
        <v>33</v>
      </c>
      <c r="D180" t="s">
        <v>43</v>
      </c>
      <c r="E180">
        <v>710000</v>
      </c>
      <c r="F180" s="1">
        <v>46288</v>
      </c>
      <c r="G180" t="s">
        <v>5</v>
      </c>
      <c r="H180" t="s">
        <v>53</v>
      </c>
      <c r="I180" t="s">
        <v>69</v>
      </c>
      <c r="J180" t="s">
        <v>86</v>
      </c>
      <c r="K180" t="s">
        <v>80</v>
      </c>
      <c r="L180" t="s">
        <v>81</v>
      </c>
      <c r="M180" t="str">
        <f>_xlfn.XLOOKUP(Application[[#This Row],[Company]],Table1[Company],Table1[Industry])</f>
        <v>Software</v>
      </c>
      <c r="N180" t="str">
        <f>_xlfn.XLOOKUP(Application[[#This Row],[Company]],Table1[Company],Table1[Company_Size])</f>
        <v>Medium</v>
      </c>
      <c r="O180" t="str">
        <f>TEXT(Application[[#This Row],[Applied_Date]],"mmmm")</f>
        <v>September</v>
      </c>
    </row>
    <row r="181" spans="1:15">
      <c r="A181" t="s">
        <v>265</v>
      </c>
      <c r="B181" t="s">
        <v>15</v>
      </c>
      <c r="C181" t="s">
        <v>34</v>
      </c>
      <c r="D181" t="s">
        <v>44</v>
      </c>
      <c r="E181">
        <v>750000</v>
      </c>
      <c r="F181" s="1">
        <v>46289</v>
      </c>
      <c r="G181" t="s">
        <v>3</v>
      </c>
      <c r="H181" t="s">
        <v>50</v>
      </c>
      <c r="I181" t="s">
        <v>68</v>
      </c>
      <c r="J181" t="s">
        <v>86</v>
      </c>
      <c r="K181" t="s">
        <v>94</v>
      </c>
      <c r="L181" t="s">
        <v>81</v>
      </c>
      <c r="M181" t="str">
        <f>_xlfn.XLOOKUP(Application[[#This Row],[Company]],Table1[Company],Table1[Industry])</f>
        <v>E-Commerce</v>
      </c>
      <c r="N181" t="str">
        <f>_xlfn.XLOOKUP(Application[[#This Row],[Company]],Table1[Company],Table1[Company_Size])</f>
        <v>Large</v>
      </c>
      <c r="O181" t="str">
        <f>TEXT(Application[[#This Row],[Applied_Date]],"mmmm")</f>
        <v>September</v>
      </c>
    </row>
    <row r="182" spans="1:15">
      <c r="A182" t="s">
        <v>266</v>
      </c>
      <c r="B182" t="s">
        <v>13</v>
      </c>
      <c r="C182" t="s">
        <v>32</v>
      </c>
      <c r="D182" t="s">
        <v>42</v>
      </c>
      <c r="E182">
        <v>830000</v>
      </c>
      <c r="F182" s="1">
        <v>46290</v>
      </c>
      <c r="G182" t="s">
        <v>2</v>
      </c>
      <c r="H182" t="s">
        <v>53</v>
      </c>
      <c r="I182" t="s">
        <v>67</v>
      </c>
      <c r="J182" t="s">
        <v>79</v>
      </c>
      <c r="K182" t="s">
        <v>84</v>
      </c>
      <c r="L182" t="s">
        <v>81</v>
      </c>
      <c r="M182" t="str">
        <f>_xlfn.XLOOKUP(Application[[#This Row],[Company]],Table1[Company],Table1[Industry])</f>
        <v>Technology</v>
      </c>
      <c r="N182" t="str">
        <f>_xlfn.XLOOKUP(Application[[#This Row],[Company]],Table1[Company],Table1[Company_Size])</f>
        <v>Large</v>
      </c>
      <c r="O182" t="str">
        <f>TEXT(Application[[#This Row],[Applied_Date]],"mmmm")</f>
        <v>September</v>
      </c>
    </row>
    <row r="183" spans="1:15">
      <c r="A183" t="s">
        <v>267</v>
      </c>
      <c r="B183" t="s">
        <v>16</v>
      </c>
      <c r="C183" t="s">
        <v>31</v>
      </c>
      <c r="D183" t="s">
        <v>43</v>
      </c>
      <c r="E183">
        <v>740000</v>
      </c>
      <c r="F183" s="1">
        <v>46291</v>
      </c>
      <c r="G183" t="s">
        <v>6</v>
      </c>
      <c r="H183" t="s">
        <v>51</v>
      </c>
      <c r="I183" t="s">
        <v>69</v>
      </c>
      <c r="J183" t="s">
        <v>83</v>
      </c>
      <c r="K183" t="s">
        <v>87</v>
      </c>
      <c r="L183" t="s">
        <v>81</v>
      </c>
      <c r="M183" t="str">
        <f>_xlfn.XLOOKUP(Application[[#This Row],[Company]],Table1[Company],Table1[Industry])</f>
        <v>Technology</v>
      </c>
      <c r="N183" t="str">
        <f>_xlfn.XLOOKUP(Application[[#This Row],[Company]],Table1[Company],Table1[Company_Size])</f>
        <v>Large</v>
      </c>
      <c r="O183" t="str">
        <f>TEXT(Application[[#This Row],[Applied_Date]],"mmmm")</f>
        <v>September</v>
      </c>
    </row>
    <row r="184" spans="1:15">
      <c r="A184" t="s">
        <v>268</v>
      </c>
      <c r="B184" t="s">
        <v>11</v>
      </c>
      <c r="C184" t="s">
        <v>35</v>
      </c>
      <c r="D184" t="s">
        <v>45</v>
      </c>
      <c r="E184">
        <v>700000</v>
      </c>
      <c r="F184" s="1">
        <v>46292</v>
      </c>
      <c r="G184" t="s">
        <v>3</v>
      </c>
      <c r="H184" t="s">
        <v>52</v>
      </c>
      <c r="I184" t="s">
        <v>67</v>
      </c>
      <c r="J184" t="s">
        <v>86</v>
      </c>
      <c r="K184" t="s">
        <v>94</v>
      </c>
      <c r="L184" t="s">
        <v>81</v>
      </c>
      <c r="M184" t="str">
        <f>_xlfn.XLOOKUP(Application[[#This Row],[Company]],Table1[Company],Table1[Industry])</f>
        <v>Fintech</v>
      </c>
      <c r="N184" t="str">
        <f>_xlfn.XLOOKUP(Application[[#This Row],[Company]],Table1[Company],Table1[Company_Size])</f>
        <v>Large</v>
      </c>
      <c r="O184" t="str">
        <f>TEXT(Application[[#This Row],[Applied_Date]],"mmmm")</f>
        <v>September</v>
      </c>
    </row>
    <row r="185" spans="1:15">
      <c r="A185" t="s">
        <v>269</v>
      </c>
      <c r="B185" t="s">
        <v>9</v>
      </c>
      <c r="C185" t="s">
        <v>36</v>
      </c>
      <c r="D185" t="s">
        <v>44</v>
      </c>
      <c r="E185">
        <v>620000</v>
      </c>
      <c r="F185" s="1">
        <v>46293</v>
      </c>
      <c r="G185" t="s">
        <v>2</v>
      </c>
      <c r="H185" t="s">
        <v>50</v>
      </c>
      <c r="I185" t="s">
        <v>68</v>
      </c>
      <c r="J185" t="s">
        <v>79</v>
      </c>
      <c r="K185" t="s">
        <v>80</v>
      </c>
      <c r="L185" t="s">
        <v>81</v>
      </c>
      <c r="M185" t="str">
        <f>_xlfn.XLOOKUP(Application[[#This Row],[Company]],Table1[Company],Table1[Industry])</f>
        <v>IT Services</v>
      </c>
      <c r="N185" t="str">
        <f>_xlfn.XLOOKUP(Application[[#This Row],[Company]],Table1[Company],Table1[Company_Size])</f>
        <v>Large</v>
      </c>
      <c r="O185" t="str">
        <f>TEXT(Application[[#This Row],[Applied_Date]],"mmmm")</f>
        <v>September</v>
      </c>
    </row>
    <row r="186" spans="1:15">
      <c r="A186" t="s">
        <v>270</v>
      </c>
      <c r="B186" t="s">
        <v>10</v>
      </c>
      <c r="C186" t="s">
        <v>37</v>
      </c>
      <c r="D186" t="s">
        <v>42</v>
      </c>
      <c r="E186">
        <v>580000</v>
      </c>
      <c r="F186" s="1">
        <v>46294</v>
      </c>
      <c r="G186" t="s">
        <v>5</v>
      </c>
      <c r="H186" t="s">
        <v>51</v>
      </c>
      <c r="I186" t="s">
        <v>67</v>
      </c>
      <c r="J186" t="s">
        <v>83</v>
      </c>
      <c r="K186" t="s">
        <v>87</v>
      </c>
      <c r="L186" t="s">
        <v>81</v>
      </c>
      <c r="M186" t="str">
        <f>_xlfn.XLOOKUP(Application[[#This Row],[Company]],Table1[Company],Table1[Industry])</f>
        <v>Consulting</v>
      </c>
      <c r="N186" t="str">
        <f>_xlfn.XLOOKUP(Application[[#This Row],[Company]],Table1[Company],Table1[Company_Size])</f>
        <v>Large</v>
      </c>
      <c r="O186" t="str">
        <f>TEXT(Application[[#This Row],[Applied_Date]],"mmmm")</f>
        <v>September</v>
      </c>
    </row>
    <row r="187" spans="1:15">
      <c r="A187" t="s">
        <v>271</v>
      </c>
      <c r="B187" t="s">
        <v>20</v>
      </c>
      <c r="C187" t="s">
        <v>38</v>
      </c>
      <c r="D187" t="s">
        <v>43</v>
      </c>
      <c r="E187">
        <v>620000</v>
      </c>
      <c r="F187" s="1">
        <v>46295</v>
      </c>
      <c r="G187" t="s">
        <v>6</v>
      </c>
      <c r="H187" t="s">
        <v>50</v>
      </c>
      <c r="I187" t="s">
        <v>69</v>
      </c>
      <c r="J187" t="s">
        <v>86</v>
      </c>
      <c r="K187" t="s">
        <v>80</v>
      </c>
      <c r="L187" t="s">
        <v>81</v>
      </c>
      <c r="M187" t="str">
        <f>_xlfn.XLOOKUP(Application[[#This Row],[Company]],Table1[Company],Table1[Industry])</f>
        <v>IT Services</v>
      </c>
      <c r="N187" t="str">
        <f>_xlfn.XLOOKUP(Application[[#This Row],[Company]],Table1[Company],Table1[Company_Size])</f>
        <v>Large</v>
      </c>
      <c r="O187" t="str">
        <f>TEXT(Application[[#This Row],[Applied_Date]],"mmmm")</f>
        <v>September</v>
      </c>
    </row>
    <row r="188" spans="1:15">
      <c r="A188" t="s">
        <v>272</v>
      </c>
      <c r="B188" t="s">
        <v>17</v>
      </c>
      <c r="C188" t="s">
        <v>35</v>
      </c>
      <c r="D188" t="s">
        <v>45</v>
      </c>
      <c r="E188">
        <v>670000</v>
      </c>
      <c r="F188" s="1">
        <v>46296</v>
      </c>
      <c r="G188" t="s">
        <v>3</v>
      </c>
      <c r="H188" t="s">
        <v>52</v>
      </c>
      <c r="I188" t="s">
        <v>67</v>
      </c>
      <c r="J188" t="s">
        <v>79</v>
      </c>
      <c r="K188" t="s">
        <v>94</v>
      </c>
      <c r="L188" t="s">
        <v>81</v>
      </c>
      <c r="M188" t="str">
        <f>_xlfn.XLOOKUP(Application[[#This Row],[Company]],Table1[Company],Table1[Industry])</f>
        <v>IT Services</v>
      </c>
      <c r="N188" t="str">
        <f>_xlfn.XLOOKUP(Application[[#This Row],[Company]],Table1[Company],Table1[Company_Size])</f>
        <v>Large</v>
      </c>
      <c r="O188" t="str">
        <f>TEXT(Application[[#This Row],[Applied_Date]],"mmmm")</f>
        <v>October</v>
      </c>
    </row>
    <row r="189" spans="1:15">
      <c r="A189" t="s">
        <v>273</v>
      </c>
      <c r="B189" t="s">
        <v>14</v>
      </c>
      <c r="C189" t="s">
        <v>36</v>
      </c>
      <c r="D189" t="s">
        <v>44</v>
      </c>
      <c r="E189">
        <v>650000</v>
      </c>
      <c r="F189" s="1">
        <v>46297</v>
      </c>
      <c r="G189" t="s">
        <v>2</v>
      </c>
      <c r="H189" t="s">
        <v>51</v>
      </c>
      <c r="I189" t="s">
        <v>68</v>
      </c>
      <c r="J189" t="s">
        <v>83</v>
      </c>
      <c r="K189" t="s">
        <v>80</v>
      </c>
      <c r="L189" t="s">
        <v>81</v>
      </c>
      <c r="M189" t="str">
        <f>_xlfn.XLOOKUP(Application[[#This Row],[Company]],Table1[Company],Table1[Industry])</f>
        <v>IT Services</v>
      </c>
      <c r="N189" t="str">
        <f>_xlfn.XLOOKUP(Application[[#This Row],[Company]],Table1[Company],Table1[Company_Size])</f>
        <v>Large</v>
      </c>
      <c r="O189" t="str">
        <f>TEXT(Application[[#This Row],[Applied_Date]],"mmmm")</f>
        <v>October</v>
      </c>
    </row>
    <row r="190" spans="1:15">
      <c r="A190" t="s">
        <v>274</v>
      </c>
      <c r="B190" t="s">
        <v>19</v>
      </c>
      <c r="C190" t="s">
        <v>37</v>
      </c>
      <c r="D190" t="s">
        <v>42</v>
      </c>
      <c r="E190">
        <v>590000</v>
      </c>
      <c r="F190" s="1">
        <v>46298</v>
      </c>
      <c r="G190" t="s">
        <v>5</v>
      </c>
      <c r="H190" t="s">
        <v>50</v>
      </c>
      <c r="I190" t="s">
        <v>67</v>
      </c>
      <c r="J190" t="s">
        <v>79</v>
      </c>
      <c r="K190" t="s">
        <v>87</v>
      </c>
      <c r="L190" t="s">
        <v>81</v>
      </c>
      <c r="M190" t="str">
        <f>_xlfn.XLOOKUP(Application[[#This Row],[Company]],Table1[Company],Table1[Industry])</f>
        <v>IT Services</v>
      </c>
      <c r="N190" t="str">
        <f>_xlfn.XLOOKUP(Application[[#This Row],[Company]],Table1[Company],Table1[Company_Size])</f>
        <v>Large</v>
      </c>
      <c r="O190" t="str">
        <f>TEXT(Application[[#This Row],[Applied_Date]],"mmmm")</f>
        <v>October</v>
      </c>
    </row>
    <row r="191" spans="1:15">
      <c r="A191" t="s">
        <v>275</v>
      </c>
      <c r="B191" t="s">
        <v>21</v>
      </c>
      <c r="C191" t="s">
        <v>38</v>
      </c>
      <c r="D191" t="s">
        <v>43</v>
      </c>
      <c r="E191">
        <v>680000</v>
      </c>
      <c r="F191" s="1">
        <v>46299</v>
      </c>
      <c r="G191" t="s">
        <v>6</v>
      </c>
      <c r="H191" t="s">
        <v>52</v>
      </c>
      <c r="I191" t="s">
        <v>69</v>
      </c>
      <c r="J191" t="s">
        <v>86</v>
      </c>
      <c r="K191" t="s">
        <v>80</v>
      </c>
      <c r="L191" t="s">
        <v>81</v>
      </c>
      <c r="M191" t="str">
        <f>_xlfn.XLOOKUP(Application[[#This Row],[Company]],Table1[Company],Table1[Industry])</f>
        <v>Technology</v>
      </c>
      <c r="N191" t="str">
        <f>_xlfn.XLOOKUP(Application[[#This Row],[Company]],Table1[Company],Table1[Company_Size])</f>
        <v>Large</v>
      </c>
      <c r="O191" t="str">
        <f>TEXT(Application[[#This Row],[Applied_Date]],"mmmm")</f>
        <v>October</v>
      </c>
    </row>
    <row r="192" spans="1:15">
      <c r="A192" t="s">
        <v>276</v>
      </c>
      <c r="B192" t="s">
        <v>12</v>
      </c>
      <c r="C192" t="s">
        <v>36</v>
      </c>
      <c r="D192" t="s">
        <v>44</v>
      </c>
      <c r="E192">
        <v>720000</v>
      </c>
      <c r="F192" s="1">
        <v>46300</v>
      </c>
      <c r="G192" t="s">
        <v>3</v>
      </c>
      <c r="H192" t="s">
        <v>51</v>
      </c>
      <c r="I192" t="s">
        <v>68</v>
      </c>
      <c r="J192" t="s">
        <v>86</v>
      </c>
      <c r="K192" t="s">
        <v>80</v>
      </c>
      <c r="L192" t="s">
        <v>81</v>
      </c>
      <c r="M192" t="str">
        <f>_xlfn.XLOOKUP(Application[[#This Row],[Company]],Table1[Company],Table1[Industry])</f>
        <v>Consulting</v>
      </c>
      <c r="N192" t="str">
        <f>_xlfn.XLOOKUP(Application[[#This Row],[Company]],Table1[Company],Table1[Company_Size])</f>
        <v>Large</v>
      </c>
      <c r="O192" t="str">
        <f>TEXT(Application[[#This Row],[Applied_Date]],"mmmm")</f>
        <v>October</v>
      </c>
    </row>
    <row r="193" spans="1:15">
      <c r="A193" t="s">
        <v>277</v>
      </c>
      <c r="B193" t="s">
        <v>22</v>
      </c>
      <c r="C193" t="s">
        <v>40</v>
      </c>
      <c r="D193" t="s">
        <v>42</v>
      </c>
      <c r="E193">
        <v>520000</v>
      </c>
      <c r="F193" s="1">
        <v>46301</v>
      </c>
      <c r="G193" t="s">
        <v>2</v>
      </c>
      <c r="H193" t="s">
        <v>50</v>
      </c>
      <c r="I193" t="s">
        <v>67</v>
      </c>
      <c r="J193" t="s">
        <v>79</v>
      </c>
      <c r="K193" t="s">
        <v>84</v>
      </c>
      <c r="L193" t="s">
        <v>81</v>
      </c>
      <c r="M193" t="str">
        <f>_xlfn.XLOOKUP(Application[[#This Row],[Company]],Table1[Company],Table1[Industry])</f>
        <v>IT Services</v>
      </c>
      <c r="N193" t="str">
        <f>_xlfn.XLOOKUP(Application[[#This Row],[Company]],Table1[Company],Table1[Company_Size])</f>
        <v>Large</v>
      </c>
      <c r="O193" t="str">
        <f>TEXT(Application[[#This Row],[Applied_Date]],"mmmm")</f>
        <v>October</v>
      </c>
    </row>
    <row r="194" spans="1:15">
      <c r="A194" t="s">
        <v>278</v>
      </c>
      <c r="B194" t="s">
        <v>18</v>
      </c>
      <c r="C194" t="s">
        <v>39</v>
      </c>
      <c r="D194" t="s">
        <v>43</v>
      </c>
      <c r="E194">
        <v>570000</v>
      </c>
      <c r="F194" s="1">
        <v>46302</v>
      </c>
      <c r="G194" t="s">
        <v>5</v>
      </c>
      <c r="H194" t="s">
        <v>53</v>
      </c>
      <c r="I194" t="s">
        <v>69</v>
      </c>
      <c r="J194" t="s">
        <v>83</v>
      </c>
      <c r="K194" t="s">
        <v>87</v>
      </c>
      <c r="L194" t="s">
        <v>81</v>
      </c>
      <c r="M194" t="str">
        <f>_xlfn.XLOOKUP(Application[[#This Row],[Company]],Table1[Company],Table1[Industry])</f>
        <v>Software</v>
      </c>
      <c r="N194" t="str">
        <f>_xlfn.XLOOKUP(Application[[#This Row],[Company]],Table1[Company],Table1[Company_Size])</f>
        <v>Medium</v>
      </c>
      <c r="O194" t="str">
        <f>TEXT(Application[[#This Row],[Applied_Date]],"mmmm")</f>
        <v>October</v>
      </c>
    </row>
    <row r="195" spans="1:15">
      <c r="A195" t="s">
        <v>279</v>
      </c>
      <c r="B195" t="s">
        <v>15</v>
      </c>
      <c r="C195" t="s">
        <v>35</v>
      </c>
      <c r="D195" t="s">
        <v>44</v>
      </c>
      <c r="E195">
        <v>790000</v>
      </c>
      <c r="F195" s="1">
        <v>46303</v>
      </c>
      <c r="G195" t="s">
        <v>6</v>
      </c>
      <c r="H195" t="s">
        <v>50</v>
      </c>
      <c r="I195" t="s">
        <v>68</v>
      </c>
      <c r="J195" t="s">
        <v>86</v>
      </c>
      <c r="K195" t="s">
        <v>94</v>
      </c>
      <c r="L195" t="s">
        <v>81</v>
      </c>
      <c r="M195" t="str">
        <f>_xlfn.XLOOKUP(Application[[#This Row],[Company]],Table1[Company],Table1[Industry])</f>
        <v>E-Commerce</v>
      </c>
      <c r="N195" t="str">
        <f>_xlfn.XLOOKUP(Application[[#This Row],[Company]],Table1[Company],Table1[Company_Size])</f>
        <v>Large</v>
      </c>
      <c r="O195" t="str">
        <f>TEXT(Application[[#This Row],[Applied_Date]],"mmmm")</f>
        <v>October</v>
      </c>
    </row>
    <row r="196" spans="1:15">
      <c r="A196" t="s">
        <v>280</v>
      </c>
      <c r="B196" t="s">
        <v>13</v>
      </c>
      <c r="C196" t="s">
        <v>36</v>
      </c>
      <c r="D196" t="s">
        <v>42</v>
      </c>
      <c r="E196">
        <v>820000</v>
      </c>
      <c r="F196" s="1">
        <v>46304</v>
      </c>
      <c r="G196" t="s">
        <v>3</v>
      </c>
      <c r="H196" t="s">
        <v>53</v>
      </c>
      <c r="I196" t="s">
        <v>67</v>
      </c>
      <c r="J196" t="s">
        <v>86</v>
      </c>
      <c r="K196" t="s">
        <v>80</v>
      </c>
      <c r="L196" t="s">
        <v>81</v>
      </c>
      <c r="M196" t="str">
        <f>_xlfn.XLOOKUP(Application[[#This Row],[Company]],Table1[Company],Table1[Industry])</f>
        <v>Technology</v>
      </c>
      <c r="N196" t="str">
        <f>_xlfn.XLOOKUP(Application[[#This Row],[Company]],Table1[Company],Table1[Company_Size])</f>
        <v>Large</v>
      </c>
      <c r="O196" t="str">
        <f>TEXT(Application[[#This Row],[Applied_Date]],"mmmm")</f>
        <v>October</v>
      </c>
    </row>
    <row r="197" spans="1:15">
      <c r="A197" t="s">
        <v>281</v>
      </c>
      <c r="B197" t="s">
        <v>16</v>
      </c>
      <c r="C197" t="s">
        <v>37</v>
      </c>
      <c r="D197" t="s">
        <v>45</v>
      </c>
      <c r="E197">
        <v>650000</v>
      </c>
      <c r="F197" s="1">
        <v>46305</v>
      </c>
      <c r="G197" t="s">
        <v>2</v>
      </c>
      <c r="H197" t="s">
        <v>51</v>
      </c>
      <c r="I197" t="s">
        <v>67</v>
      </c>
      <c r="J197" t="s">
        <v>79</v>
      </c>
      <c r="K197" t="s">
        <v>87</v>
      </c>
      <c r="L197" t="s">
        <v>81</v>
      </c>
      <c r="M197" t="str">
        <f>_xlfn.XLOOKUP(Application[[#This Row],[Company]],Table1[Company],Table1[Industry])</f>
        <v>Technology</v>
      </c>
      <c r="N197" t="str">
        <f>_xlfn.XLOOKUP(Application[[#This Row],[Company]],Table1[Company],Table1[Company_Size])</f>
        <v>Large</v>
      </c>
      <c r="O197" t="str">
        <f>TEXT(Application[[#This Row],[Applied_Date]],"mmmm")</f>
        <v>October</v>
      </c>
    </row>
    <row r="198" spans="1:15">
      <c r="A198" t="s">
        <v>282</v>
      </c>
      <c r="B198" t="s">
        <v>11</v>
      </c>
      <c r="C198" t="s">
        <v>38</v>
      </c>
      <c r="D198" t="s">
        <v>43</v>
      </c>
      <c r="E198">
        <v>690000</v>
      </c>
      <c r="F198" s="1">
        <v>46306</v>
      </c>
      <c r="G198" t="s">
        <v>6</v>
      </c>
      <c r="H198" t="s">
        <v>52</v>
      </c>
      <c r="I198" t="s">
        <v>69</v>
      </c>
      <c r="J198" t="s">
        <v>83</v>
      </c>
      <c r="K198" t="s">
        <v>80</v>
      </c>
      <c r="L198" t="s">
        <v>81</v>
      </c>
      <c r="M198" t="str">
        <f>_xlfn.XLOOKUP(Application[[#This Row],[Company]],Table1[Company],Table1[Industry])</f>
        <v>Fintech</v>
      </c>
      <c r="N198" t="str">
        <f>_xlfn.XLOOKUP(Application[[#This Row],[Company]],Table1[Company],Table1[Company_Size])</f>
        <v>Large</v>
      </c>
      <c r="O198" t="str">
        <f>TEXT(Application[[#This Row],[Applied_Date]],"mmmm")</f>
        <v>October</v>
      </c>
    </row>
    <row r="199" spans="1:15">
      <c r="A199" t="s">
        <v>283</v>
      </c>
      <c r="B199" t="s">
        <v>9</v>
      </c>
      <c r="C199" t="s">
        <v>40</v>
      </c>
      <c r="D199" t="s">
        <v>44</v>
      </c>
      <c r="E199">
        <v>500000</v>
      </c>
      <c r="F199" s="1">
        <v>46307</v>
      </c>
      <c r="G199" t="s">
        <v>5</v>
      </c>
      <c r="H199" t="s">
        <v>50</v>
      </c>
      <c r="I199" t="s">
        <v>68</v>
      </c>
      <c r="J199" t="s">
        <v>79</v>
      </c>
      <c r="K199" t="s">
        <v>84</v>
      </c>
      <c r="L199" t="s">
        <v>81</v>
      </c>
      <c r="M199" t="str">
        <f>_xlfn.XLOOKUP(Application[[#This Row],[Company]],Table1[Company],Table1[Industry])</f>
        <v>IT Services</v>
      </c>
      <c r="N199" t="str">
        <f>_xlfn.XLOOKUP(Application[[#This Row],[Company]],Table1[Company],Table1[Company_Size])</f>
        <v>Large</v>
      </c>
      <c r="O199" t="str">
        <f>TEXT(Application[[#This Row],[Applied_Date]],"mmmm")</f>
        <v>October</v>
      </c>
    </row>
    <row r="200" spans="1:15">
      <c r="A200" t="s">
        <v>284</v>
      </c>
      <c r="B200" t="s">
        <v>10</v>
      </c>
      <c r="C200" t="s">
        <v>39</v>
      </c>
      <c r="D200" t="s">
        <v>42</v>
      </c>
      <c r="E200">
        <v>610000</v>
      </c>
      <c r="F200" s="1">
        <v>46308</v>
      </c>
      <c r="G200" t="s">
        <v>3</v>
      </c>
      <c r="H200" t="s">
        <v>51</v>
      </c>
      <c r="I200" t="s">
        <v>67</v>
      </c>
      <c r="J200" t="s">
        <v>83</v>
      </c>
      <c r="K200" t="s">
        <v>87</v>
      </c>
      <c r="L200" t="s">
        <v>81</v>
      </c>
      <c r="M200" t="str">
        <f>_xlfn.XLOOKUP(Application[[#This Row],[Company]],Table1[Company],Table1[Industry])</f>
        <v>Consulting</v>
      </c>
      <c r="N200" t="str">
        <f>_xlfn.XLOOKUP(Application[[#This Row],[Company]],Table1[Company],Table1[Company_Size])</f>
        <v>Large</v>
      </c>
      <c r="O200" t="str">
        <f>TEXT(Application[[#This Row],[Applied_Date]],"mmmm")</f>
        <v>October</v>
      </c>
    </row>
    <row r="201" spans="1:15">
      <c r="A201" t="s">
        <v>285</v>
      </c>
      <c r="B201" t="s">
        <v>20</v>
      </c>
      <c r="C201" t="s">
        <v>36</v>
      </c>
      <c r="D201" t="s">
        <v>43</v>
      </c>
      <c r="E201">
        <v>630000</v>
      </c>
      <c r="F201" s="1">
        <v>46309</v>
      </c>
      <c r="G201" t="s">
        <v>4</v>
      </c>
      <c r="H201" t="s">
        <v>53</v>
      </c>
      <c r="I201" t="s">
        <v>69</v>
      </c>
      <c r="J201" t="s">
        <v>86</v>
      </c>
      <c r="K201" t="s">
        <v>80</v>
      </c>
      <c r="L201" t="s">
        <v>81</v>
      </c>
      <c r="M201" t="str">
        <f>_xlfn.XLOOKUP(Application[[#This Row],[Company]],Table1[Company],Table1[Industry])</f>
        <v>IT Services</v>
      </c>
      <c r="N201" t="str">
        <f>_xlfn.XLOOKUP(Application[[#This Row],[Company]],Table1[Company],Table1[Company_Size])</f>
        <v>Large</v>
      </c>
      <c r="O201" t="str">
        <f>TEXT(Application[[#This Row],[Applied_Date]],"mmmm")</f>
        <v>October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2110-4872-4D57-867A-711651A28FCE}">
  <dimension ref="A1:C21"/>
  <sheetViews>
    <sheetView workbookViewId="0">
      <selection activeCell="E21" sqref="E21"/>
    </sheetView>
  </sheetViews>
  <sheetFormatPr defaultRowHeight="15"/>
  <cols>
    <col min="1" max="1" width="11.85546875" bestFit="1" customWidth="1"/>
    <col min="2" max="2" width="12.28515625" bestFit="1" customWidth="1"/>
    <col min="3" max="3" width="16.5703125" bestFit="1" customWidth="1"/>
  </cols>
  <sheetData>
    <row r="1" spans="1:3">
      <c r="A1" t="s">
        <v>8</v>
      </c>
      <c r="B1" t="s">
        <v>76</v>
      </c>
      <c r="C1" t="s">
        <v>77</v>
      </c>
    </row>
    <row r="2" spans="1:3">
      <c r="A2" t="s">
        <v>11</v>
      </c>
      <c r="B2" t="s">
        <v>286</v>
      </c>
      <c r="C2" t="s">
        <v>287</v>
      </c>
    </row>
    <row r="3" spans="1:3">
      <c r="A3" t="s">
        <v>9</v>
      </c>
      <c r="B3" t="s">
        <v>288</v>
      </c>
      <c r="C3" t="s">
        <v>287</v>
      </c>
    </row>
    <row r="4" spans="1:3">
      <c r="A4" t="s">
        <v>10</v>
      </c>
      <c r="B4" t="s">
        <v>289</v>
      </c>
      <c r="C4" t="s">
        <v>287</v>
      </c>
    </row>
    <row r="5" spans="1:3">
      <c r="A5" t="s">
        <v>20</v>
      </c>
      <c r="B5" t="s">
        <v>288</v>
      </c>
      <c r="C5" t="s">
        <v>287</v>
      </c>
    </row>
    <row r="6" spans="1:3">
      <c r="A6" t="s">
        <v>17</v>
      </c>
      <c r="B6" t="s">
        <v>288</v>
      </c>
      <c r="C6" t="s">
        <v>287</v>
      </c>
    </row>
    <row r="7" spans="1:3">
      <c r="A7" t="s">
        <v>14</v>
      </c>
      <c r="B7" t="s">
        <v>288</v>
      </c>
      <c r="C7" t="s">
        <v>287</v>
      </c>
    </row>
    <row r="8" spans="1:3">
      <c r="A8" t="s">
        <v>19</v>
      </c>
      <c r="B8" t="s">
        <v>288</v>
      </c>
      <c r="C8" t="s">
        <v>287</v>
      </c>
    </row>
    <row r="9" spans="1:3">
      <c r="A9" t="s">
        <v>21</v>
      </c>
      <c r="B9" t="s">
        <v>290</v>
      </c>
      <c r="C9" t="s">
        <v>287</v>
      </c>
    </row>
    <row r="10" spans="1:3">
      <c r="A10" t="s">
        <v>12</v>
      </c>
      <c r="B10" t="s">
        <v>289</v>
      </c>
      <c r="C10" t="s">
        <v>287</v>
      </c>
    </row>
    <row r="11" spans="1:3">
      <c r="A11" t="s">
        <v>22</v>
      </c>
      <c r="B11" t="s">
        <v>288</v>
      </c>
      <c r="C11" t="s">
        <v>287</v>
      </c>
    </row>
    <row r="12" spans="1:3">
      <c r="A12" t="s">
        <v>18</v>
      </c>
      <c r="B12" t="s">
        <v>291</v>
      </c>
      <c r="C12" t="s">
        <v>292</v>
      </c>
    </row>
    <row r="13" spans="1:3">
      <c r="A13" t="s">
        <v>15</v>
      </c>
      <c r="B13" t="s">
        <v>293</v>
      </c>
      <c r="C13" t="s">
        <v>287</v>
      </c>
    </row>
    <row r="14" spans="1:3">
      <c r="A14" t="s">
        <v>13</v>
      </c>
      <c r="B14" t="s">
        <v>290</v>
      </c>
      <c r="C14" t="s">
        <v>287</v>
      </c>
    </row>
    <row r="15" spans="1:3">
      <c r="A15" t="s">
        <v>16</v>
      </c>
      <c r="B15" t="s">
        <v>290</v>
      </c>
      <c r="C15" t="s">
        <v>287</v>
      </c>
    </row>
    <row r="16" spans="1:3">
      <c r="A16" t="s">
        <v>26</v>
      </c>
      <c r="B16" t="s">
        <v>286</v>
      </c>
      <c r="C16" t="s">
        <v>287</v>
      </c>
    </row>
    <row r="17" spans="1:3">
      <c r="A17" t="s">
        <v>24</v>
      </c>
      <c r="B17" t="s">
        <v>294</v>
      </c>
      <c r="C17" t="s">
        <v>287</v>
      </c>
    </row>
    <row r="18" spans="1:3">
      <c r="A18" t="s">
        <v>28</v>
      </c>
      <c r="B18" t="s">
        <v>294</v>
      </c>
      <c r="C18" t="s">
        <v>287</v>
      </c>
    </row>
    <row r="19" spans="1:3">
      <c r="A19" t="s">
        <v>27</v>
      </c>
      <c r="B19" t="s">
        <v>294</v>
      </c>
      <c r="C19" t="s">
        <v>287</v>
      </c>
    </row>
    <row r="20" spans="1:3">
      <c r="A20" t="s">
        <v>23</v>
      </c>
      <c r="B20" t="s">
        <v>286</v>
      </c>
      <c r="C20" t="s">
        <v>287</v>
      </c>
    </row>
    <row r="21" spans="1:3">
      <c r="A21" t="s">
        <v>25</v>
      </c>
      <c r="B21" t="s">
        <v>286</v>
      </c>
      <c r="C21" t="s">
        <v>287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D704-6BC7-48DE-905A-FD1A090DE044}">
  <dimension ref="A1:U18"/>
  <sheetViews>
    <sheetView tabSelected="1" workbookViewId="0">
      <selection activeCell="Q12" sqref="Q12"/>
    </sheetView>
  </sheetViews>
  <sheetFormatPr defaultRowHeight="15"/>
  <cols>
    <col min="1" max="1" width="19.5703125" customWidth="1"/>
    <col min="2" max="2" width="16.85546875" customWidth="1"/>
    <col min="7" max="7" width="10.85546875" customWidth="1"/>
    <col min="20" max="20" width="13.7109375" customWidth="1"/>
    <col min="21" max="21" width="11.140625" customWidth="1"/>
  </cols>
  <sheetData>
    <row r="1" spans="1:21" ht="21">
      <c r="G1" s="2" t="s">
        <v>295</v>
      </c>
    </row>
    <row r="2" spans="1:21" ht="18.75">
      <c r="A2" s="87" t="s">
        <v>296</v>
      </c>
      <c r="B2" s="87" t="s">
        <v>297</v>
      </c>
    </row>
    <row r="3" spans="1:21" ht="18.75">
      <c r="A3" s="86" t="s">
        <v>298</v>
      </c>
      <c r="B3" s="86">
        <f>COUNTA(Application[Application_ID])</f>
        <v>200</v>
      </c>
      <c r="D3" s="6" t="s">
        <v>299</v>
      </c>
      <c r="E3" s="7"/>
      <c r="F3" s="8"/>
      <c r="H3" s="18" t="s">
        <v>300</v>
      </c>
      <c r="I3" s="19"/>
      <c r="J3" s="20"/>
      <c r="L3" s="30" t="s">
        <v>301</v>
      </c>
      <c r="M3" s="31"/>
      <c r="N3" s="32"/>
    </row>
    <row r="4" spans="1:21" ht="18.75">
      <c r="A4" s="86" t="s">
        <v>2</v>
      </c>
      <c r="B4" s="86">
        <f>COUNTIF(Application[Status],"Applied")</f>
        <v>62</v>
      </c>
      <c r="D4" s="9"/>
      <c r="E4" s="10"/>
      <c r="F4" s="11"/>
      <c r="H4" s="21"/>
      <c r="I4" s="22"/>
      <c r="J4" s="23"/>
      <c r="L4" s="33"/>
      <c r="M4" s="34"/>
      <c r="N4" s="35"/>
    </row>
    <row r="5" spans="1:21" ht="18.75">
      <c r="A5" s="86" t="s">
        <v>6</v>
      </c>
      <c r="B5" s="86">
        <f>COUNTIF(Application[Status],"Shortlisted")</f>
        <v>45</v>
      </c>
      <c r="D5" s="9"/>
      <c r="E5" s="10"/>
      <c r="F5" s="11"/>
      <c r="H5" s="21"/>
      <c r="I5" s="22"/>
      <c r="J5" s="23"/>
      <c r="L5" s="33"/>
      <c r="M5" s="34"/>
      <c r="N5" s="35"/>
    </row>
    <row r="6" spans="1:21" ht="18.75">
      <c r="A6" s="86" t="s">
        <v>302</v>
      </c>
      <c r="B6" s="86">
        <f>COUNTIF(Application[Status],"Interview")</f>
        <v>48</v>
      </c>
      <c r="D6" s="12">
        <v>200</v>
      </c>
      <c r="E6" s="13"/>
      <c r="F6" s="14"/>
      <c r="H6" s="24">
        <v>63</v>
      </c>
      <c r="I6" s="25"/>
      <c r="J6" s="26"/>
      <c r="L6" s="36">
        <v>45</v>
      </c>
      <c r="M6" s="37"/>
      <c r="N6" s="38"/>
    </row>
    <row r="7" spans="1:21" ht="18.75">
      <c r="A7" s="86" t="s">
        <v>303</v>
      </c>
      <c r="B7" s="86">
        <f>COUNTIF(Application[Status],"Offer")</f>
        <v>6</v>
      </c>
      <c r="D7" s="12"/>
      <c r="E7" s="13"/>
      <c r="F7" s="14"/>
      <c r="H7" s="24"/>
      <c r="I7" s="25"/>
      <c r="J7" s="26"/>
      <c r="L7" s="36"/>
      <c r="M7" s="37"/>
      <c r="N7" s="38"/>
    </row>
    <row r="8" spans="1:21" ht="18.75">
      <c r="A8" s="86" t="s">
        <v>5</v>
      </c>
      <c r="B8" s="86">
        <f>COUNTIF(Application[Status],"Rejected")</f>
        <v>38</v>
      </c>
      <c r="D8" s="15"/>
      <c r="E8" s="16"/>
      <c r="F8" s="17"/>
      <c r="H8" s="27"/>
      <c r="I8" s="28"/>
      <c r="J8" s="29"/>
      <c r="L8" s="39"/>
      <c r="M8" s="40"/>
      <c r="N8" s="41"/>
    </row>
    <row r="10" spans="1:21">
      <c r="T10" s="78" t="s">
        <v>304</v>
      </c>
      <c r="U10" s="79" t="s">
        <v>297</v>
      </c>
    </row>
    <row r="11" spans="1:21">
      <c r="T11" s="80" t="s">
        <v>305</v>
      </c>
      <c r="U11" s="81">
        <f>AVERAGE(Application[Salary])</f>
        <v>668050</v>
      </c>
    </row>
    <row r="12" spans="1:21">
      <c r="D12" s="42" t="s">
        <v>306</v>
      </c>
      <c r="E12" s="43"/>
      <c r="F12" s="44"/>
      <c r="H12" s="54" t="s">
        <v>307</v>
      </c>
      <c r="I12" s="55"/>
      <c r="J12" s="56"/>
      <c r="L12" s="66" t="s">
        <v>308</v>
      </c>
      <c r="M12" s="67"/>
      <c r="N12" s="68"/>
      <c r="T12" s="80" t="s">
        <v>309</v>
      </c>
      <c r="U12" s="81">
        <f>MAX(Application[Salary])</f>
        <v>900000</v>
      </c>
    </row>
    <row r="13" spans="1:21">
      <c r="D13" s="45"/>
      <c r="E13" s="46"/>
      <c r="F13" s="47"/>
      <c r="H13" s="57"/>
      <c r="I13" s="58"/>
      <c r="J13" s="59"/>
      <c r="L13" s="69"/>
      <c r="M13" s="70"/>
      <c r="N13" s="71"/>
      <c r="T13" s="80" t="s">
        <v>310</v>
      </c>
      <c r="U13" s="81">
        <f>MIN(Application[Salary])</f>
        <v>500000</v>
      </c>
    </row>
    <row r="14" spans="1:21">
      <c r="D14" s="45"/>
      <c r="E14" s="46"/>
      <c r="F14" s="47"/>
      <c r="H14" s="57"/>
      <c r="I14" s="58"/>
      <c r="J14" s="59"/>
      <c r="L14" s="69"/>
      <c r="M14" s="70"/>
      <c r="N14" s="71"/>
      <c r="T14" s="80" t="s">
        <v>311</v>
      </c>
      <c r="U14" s="82">
        <f>B6/B3</f>
        <v>0.24</v>
      </c>
    </row>
    <row r="15" spans="1:21">
      <c r="D15" s="48">
        <v>48</v>
      </c>
      <c r="E15" s="49"/>
      <c r="F15" s="50"/>
      <c r="H15" s="60">
        <v>6</v>
      </c>
      <c r="I15" s="61"/>
      <c r="J15" s="62"/>
      <c r="L15" s="72">
        <v>38</v>
      </c>
      <c r="M15" s="73"/>
      <c r="N15" s="74"/>
      <c r="T15" s="80" t="s">
        <v>312</v>
      </c>
      <c r="U15" s="82">
        <f>B7/B3</f>
        <v>0.03</v>
      </c>
    </row>
    <row r="16" spans="1:21">
      <c r="D16" s="48"/>
      <c r="E16" s="49"/>
      <c r="F16" s="50"/>
      <c r="H16" s="60"/>
      <c r="I16" s="61"/>
      <c r="J16" s="62"/>
      <c r="L16" s="72"/>
      <c r="M16" s="73"/>
      <c r="N16" s="74"/>
      <c r="T16" s="83" t="s">
        <v>313</v>
      </c>
      <c r="U16" s="84">
        <f>B8/B3</f>
        <v>0.19</v>
      </c>
    </row>
    <row r="17" spans="4:16">
      <c r="D17" s="51"/>
      <c r="E17" s="52"/>
      <c r="F17" s="53"/>
      <c r="H17" s="63"/>
      <c r="I17" s="64"/>
      <c r="J17" s="65"/>
      <c r="L17" s="75"/>
      <c r="M17" s="76"/>
      <c r="N17" s="77"/>
    </row>
    <row r="18" spans="4:16">
      <c r="P18" s="85"/>
    </row>
  </sheetData>
  <mergeCells count="12">
    <mergeCell ref="D12:F14"/>
    <mergeCell ref="D15:F17"/>
    <mergeCell ref="H12:J14"/>
    <mergeCell ref="H15:J17"/>
    <mergeCell ref="L12:N14"/>
    <mergeCell ref="L15:N17"/>
    <mergeCell ref="D3:F5"/>
    <mergeCell ref="D6:F8"/>
    <mergeCell ref="H3:J5"/>
    <mergeCell ref="H6:J8"/>
    <mergeCell ref="L3:N5"/>
    <mergeCell ref="L6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kavya chendilikumar</cp:lastModifiedBy>
  <cp:revision/>
  <dcterms:created xsi:type="dcterms:W3CDTF">2026-09-13T09:21:54Z</dcterms:created>
  <dcterms:modified xsi:type="dcterms:W3CDTF">2026-09-15T10:40:52Z</dcterms:modified>
  <cp:category/>
  <cp:contentStatus/>
</cp:coreProperties>
</file>